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G:\OPERAT\Factsheet 2013-14\Sept 2026\ISIN Portfolio 300926\ISIN Portfolio\"/>
    </mc:Choice>
  </mc:AlternateContent>
  <xr:revisionPtr revIDLastSave="0" documentId="13_ncr:1_{93D1518C-5151-4399-ABB7-4884BAF91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NITE" sheetId="2" r:id="rId1"/>
    <sheet name="Derivativ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2" l="1"/>
  <c r="H40" i="2"/>
  <c r="H39" i="2"/>
</calcChain>
</file>

<file path=xl/sharedStrings.xml><?xml version="1.0" encoding="utf-8"?>
<sst xmlns="http://schemas.openxmlformats.org/spreadsheetml/2006/main" count="365" uniqueCount="95">
  <si>
    <t>ICICI Prudential Mutual Fund</t>
  </si>
  <si>
    <t>ICICI Prudential Overnight Fund</t>
  </si>
  <si>
    <t>Portfolio as on Sep 30,2026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</si>
  <si>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</si>
  <si>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</si>
  <si>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</si>
  <si>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</si>
  <si>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</si>
  <si>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</si>
  <si>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</si>
  <si>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</si>
  <si>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</si>
  <si>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</si>
  <si>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</si>
  <si>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Nil</t>
  </si>
  <si>
    <t>Listed / Awaiting Listing On Stock Exchanges</t>
  </si>
  <si>
    <t>Government Securities</t>
  </si>
  <si>
    <t>Non-Convertible debentures / Bonds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</si>
  <si>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</si>
  <si>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</si>
  <si>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</si>
  <si>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</si>
  <si>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</si>
  <si>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</si>
  <si>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</si>
  <si>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</si>
  <si>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</si>
  <si>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</si>
  <si>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</si>
  <si>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364 Days Treasury Bills</t>
  </si>
  <si>
    <t>IN002025Z286</t>
  </si>
  <si>
    <t>SOV</t>
  </si>
  <si>
    <t>IN002025Z278</t>
  </si>
  <si>
    <t>91 Days Treasury Bills</t>
  </si>
  <si>
    <t>IN002026X149</t>
  </si>
  <si>
    <t>Reverse Repo</t>
  </si>
  <si>
    <t>REVERSE REPO (10/1/2026)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</si>
  <si>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</si>
  <si>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</si>
  <si>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</si>
  <si>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</si>
  <si>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</si>
  <si>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Sep 30,2026</t>
  </si>
  <si>
    <t>2. Total Value and Percentage of Non Traded/Unlisted/Unquoted/Illiquid shares</t>
  </si>
  <si>
    <t>3. ICICI Prudential Overnight Fund - NAV &amp; Dividend</t>
  </si>
  <si>
    <t>Plan Name</t>
  </si>
  <si>
    <t>NAV per Unit - 31-Aug-2026</t>
  </si>
  <si>
    <t>NAV per Unit - 30-Sep-2026</t>
  </si>
  <si>
    <t>Dividend declared during the Month ended 30-Sep-2026(Rs.)/Unit</t>
  </si>
  <si>
    <t>Growth Option</t>
  </si>
  <si>
    <t>-</t>
  </si>
  <si>
    <t>Daily IDCW Option</t>
  </si>
  <si>
    <t>Weekly IDCW Option</t>
  </si>
  <si>
    <t>Direct Plan - Growth Option</t>
  </si>
  <si>
    <t>Direct Plan - Daily IDCW option</t>
  </si>
  <si>
    <t>Direct Plan - Weekly IDCW option</t>
  </si>
  <si>
    <t>Direct Plan - Unclaimed IDCW Stable Scheme</t>
  </si>
  <si>
    <t>Direct Plan - Unclaimed IDCW Transitory Scheme</t>
  </si>
  <si>
    <t>Direct Plan - Unclaimed Redemption Stable Scheme</t>
  </si>
  <si>
    <t>Direct Plan - Unclaimed Redemption Transitory Scheme</t>
  </si>
  <si>
    <t>4. Total outstanding exposure in derivatives instrument</t>
  </si>
  <si>
    <t>5. Total market value of Investment in Foreign Securities / ADRs / GDRs / Overseas ETFs as on Sep 30,2026</t>
  </si>
  <si>
    <t xml:space="preserve">6. Average Maturity </t>
  </si>
  <si>
    <t>0.00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</si>
  <si>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</si>
  <si>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</si>
  <si>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</si>
  <si>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</si>
  <si>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</si>
  <si>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</si>
  <si>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</si>
  <si>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</si>
  <si>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Overnight Index</t>
  </si>
  <si>
    <t>DERIVATIVE DISCLOSURE</t>
  </si>
  <si>
    <t>Hedging Positions through Futures as on  Sep 30, 2026 is Nil.</t>
  </si>
  <si>
    <t>A.  Hedging Positions through Futures as on  March 31, 2026.: Nil</t>
  </si>
  <si>
    <t>Other than Hedging Positions through Futures as on  Sep 30, 2026 is Nil.</t>
  </si>
  <si>
    <t>B. Other than Hedging Positions through Futures as on  March 31, 2026. : Nil</t>
  </si>
  <si>
    <t>Hedging Positions through Put Options as on Sep 30, 2026 is Nil.</t>
  </si>
  <si>
    <t>C. Hedging Positions through Options as on  March 31, 2026 . : Nil</t>
  </si>
  <si>
    <t>Positions through Covered Call Options as on Sep 30, 2026 is Nil.</t>
  </si>
  <si>
    <t>D. Other than Hedging Positions through Options as on  March 31, 2026 : Nil</t>
  </si>
  <si>
    <t>Other than Hedging Position through Options as on Sep 30, 2026 is Nil.</t>
  </si>
  <si>
    <t>6 a</t>
  </si>
  <si>
    <t>For the Period ended Sep 30, 2026 the following transactions through futures have been squared off/ expired: Nil.</t>
  </si>
  <si>
    <t>6 b</t>
  </si>
  <si>
    <t>Transaction through Covered Call Options which have already been exercised/expired during the period ended Sep 30, 2026. is Nil.</t>
  </si>
  <si>
    <t>For the period ended Sep 30, 2026 with regard to non-hedging transactions through options which have already been exercised/expired is Nil</t>
  </si>
  <si>
    <t>Transactions in Repo in Corporate Debt carried out during Month ended Sep 30, 2026.</t>
  </si>
  <si>
    <t>Scheme Name</t>
  </si>
  <si>
    <t>Value Date</t>
  </si>
  <si>
    <t>Amount (Rs. In Lakhs)</t>
  </si>
  <si>
    <t>Counterparty</t>
  </si>
  <si>
    <t>% To Nav As On Value Date</t>
  </si>
  <si>
    <t>ARCLREPO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</si>
</sst>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name val="Mulish ExtraBold"/>
    </font>
    <font>
      <sz val="10"/>
      <name val="Arial"/>
      <family val="2"/>
    </font>
    <font>
      <sz val="10"/>
      <name val="Mulish ExtraBold"/>
    </font>
    <font>
      <sz val="10"/>
      <name val="Calibri"/>
      <family val="2"/>
      <scheme val="minor"/>
    </font>
    <font>
      <sz val="10"/>
      <color theme="1"/>
      <name val="Mulish SemiBold"/>
    </font>
  </fonts>
  <fills count="7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3" fillId="0" borderId="0"/>
  </cellStyleXfs>
  <cellXfs count="46">
    <xf numFmtId="0" fontId="0" fillId="0" borderId="0" xfId="0"/>
    <xf numFmtId="168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70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0" xfId="6" applyFont="1"/>
    <xf numFmtId="0" fontId="14" fillId="0" borderId="0" xfId="7" applyFont="1"/>
    <xf numFmtId="0" fontId="0" fillId="0" borderId="0" xfId="0" applyAlignment="1">
      <alignment wrapText="1"/>
    </xf>
    <xf numFmtId="0" fontId="12" fillId="5" borderId="9" xfId="7" applyFont="1" applyFill="1" applyBorder="1" applyAlignment="1">
      <alignment horizontal="centerContinuous" vertical="center"/>
    </xf>
    <xf numFmtId="10" fontId="12" fillId="5" borderId="9" xfId="7" applyNumberFormat="1" applyFont="1" applyFill="1" applyBorder="1" applyAlignment="1">
      <alignment horizontal="center" vertical="center"/>
    </xf>
    <xf numFmtId="0" fontId="15" fillId="5" borderId="9" xfId="0" applyFont="1" applyFill="1" applyBorder="1"/>
    <xf numFmtId="15" fontId="0" fillId="6" borderId="9" xfId="0" applyNumberFormat="1" applyFill="1" applyBorder="1"/>
    <xf numFmtId="4" fontId="0" fillId="6" borderId="9" xfId="0" applyNumberFormat="1" applyFill="1" applyBorder="1"/>
    <xf numFmtId="10" fontId="16" fillId="5" borderId="9" xfId="0" applyNumberFormat="1" applyFont="1" applyFill="1" applyBorder="1"/>
    <xf numFmtId="15" fontId="0" fillId="5" borderId="9" xfId="0" applyNumberFormat="1" applyFill="1" applyBorder="1"/>
    <xf numFmtId="4" fontId="0" fillId="5" borderId="9" xfId="0" applyNumberFormat="1" applyFill="1" applyBorder="1"/>
    <xf numFmtId="0" fontId="10" fillId="0" borderId="0" xfId="0" applyFont="1" applyAlignment="1">
      <alignment horizontal="left" vertical="justify"/>
    </xf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E94AE8-F92A-4252-A613-AAAFAE1283A8}"/>
    <cellStyle name="Normal 4" xfId="7" xr:uid="{AEDB22AF-F5B1-438D-AEA5-C224026B4BC4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97150"/>
          <a:ext cx="474345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154650"/>
          <a:ext cx="474345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zoomScale="80" zoomScaleNormal="80" workbookViewId="0"/>
  </sheetViews>
  <sheetFormatPr defaultColWidth="10" defaultRowHeight="15" customHeight="1" x14ac:dyDescent="0.2"/>
  <cols>
    <col min="1" max="1" width="10" style="2" customWidth="1"/>
    <col min="2" max="2" width="71.140625" style="2" customWidth="1"/>
    <col min="3" max="3" width="18.7109375" style="2" customWidth="1"/>
    <col min="4" max="4" width="10.42578125" style="2" customWidth="1"/>
    <col min="5" max="5" width="16.85546875" style="2" customWidth="1"/>
    <col min="6" max="6" width="10.28515625" style="2" bestFit="1" customWidth="1"/>
    <col min="7" max="7" width="35" style="2" bestFit="1" customWidth="1"/>
    <col min="8" max="8" width="15.7109375" style="2" customWidth="1"/>
    <col min="9" max="9" width="29.7109375" style="2" bestFit="1" customWidth="1"/>
    <col min="10" max="10" width="26.7109375" style="2" bestFit="1" customWidth="1"/>
  </cols>
  <sheetData>
    <row r="1" spans="2:10" ht="15" customHeight="1" x14ac:dyDescent="0.2">
      <c r="B1" s="42" t="s">
        <v>0</v>
      </c>
      <c r="C1" s="42"/>
      <c r="D1" s="42"/>
      <c r="E1" s="42"/>
      <c r="F1" s="42"/>
      <c r="G1" s="42"/>
      <c r="H1" s="42"/>
      <c r="I1" s="42"/>
      <c r="J1" s="42"/>
    </row>
    <row r="2" spans="2:10" ht="15" customHeight="1" x14ac:dyDescent="0.2">
      <c r="B2" s="43" t="s">
        <v>1</v>
      </c>
      <c r="C2" s="43"/>
      <c r="D2" s="43"/>
      <c r="E2" s="43"/>
      <c r="F2" s="43"/>
      <c r="G2" s="43"/>
      <c r="H2" s="43"/>
      <c r="I2" s="43"/>
      <c r="J2" s="43"/>
    </row>
    <row r="3" spans="2:10" ht="15" customHeight="1" x14ac:dyDescent="0.2">
      <c r="B3" s="44" t="s">
        <v>2</v>
      </c>
      <c r="C3" s="44"/>
      <c r="D3" s="44"/>
      <c r="E3" s="44"/>
      <c r="F3" s="44"/>
      <c r="G3" s="44"/>
      <c r="H3" s="44"/>
      <c r="I3" s="44"/>
      <c r="J3" s="44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 t="s">
        <v>14</v>
      </c>
      <c r="H5" s="9" t="s">
        <v>14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15</v>
      </c>
      <c r="C7" s="7" t="s">
        <v>13</v>
      </c>
      <c r="D7" s="8" t="s">
        <v>13</v>
      </c>
      <c r="E7" s="7" t="s">
        <v>13</v>
      </c>
      <c r="F7" s="8" t="s">
        <v>13</v>
      </c>
      <c r="G7" s="8" t="s">
        <v>14</v>
      </c>
      <c r="H7" s="9" t="s">
        <v>14</v>
      </c>
      <c r="I7" s="8" t="s">
        <v>13</v>
      </c>
      <c r="J7" s="10" t="s">
        <v>13</v>
      </c>
    </row>
    <row r="8" spans="2:10" ht="15" customHeight="1" x14ac:dyDescent="0.2">
      <c r="B8" s="11" t="s">
        <v>13</v>
      </c>
      <c r="J8" s="10" t="s">
        <v>13</v>
      </c>
    </row>
    <row r="9" spans="2:10" ht="15" customHeight="1" x14ac:dyDescent="0.2">
      <c r="B9" s="6" t="s">
        <v>16</v>
      </c>
      <c r="C9" s="7" t="s">
        <v>13</v>
      </c>
      <c r="D9" s="8" t="s">
        <v>13</v>
      </c>
      <c r="E9" s="7" t="s">
        <v>13</v>
      </c>
      <c r="F9" s="8" t="s">
        <v>13</v>
      </c>
      <c r="G9" s="8" t="s">
        <v>14</v>
      </c>
      <c r="H9" s="9" t="s">
        <v>14</v>
      </c>
      <c r="I9" s="8" t="s">
        <v>13</v>
      </c>
      <c r="J9" s="10" t="s">
        <v>13</v>
      </c>
    </row>
    <row r="10" spans="2:10" ht="15" customHeight="1" x14ac:dyDescent="0.2">
      <c r="B10" s="11" t="s">
        <v>13</v>
      </c>
      <c r="J10" s="10" t="s">
        <v>13</v>
      </c>
    </row>
    <row r="11" spans="2:10" ht="15" customHeight="1" x14ac:dyDescent="0.2">
      <c r="B11" s="6" t="s">
        <v>17</v>
      </c>
      <c r="C11" s="7" t="s">
        <v>13</v>
      </c>
      <c r="D11" s="8" t="s">
        <v>13</v>
      </c>
      <c r="E11" s="7" t="s">
        <v>13</v>
      </c>
      <c r="F11" s="8" t="s">
        <v>13</v>
      </c>
      <c r="G11" s="8" t="s">
        <v>14</v>
      </c>
      <c r="H11" s="9" t="s">
        <v>14</v>
      </c>
      <c r="I11" s="8" t="s">
        <v>13</v>
      </c>
      <c r="J11" s="10" t="s">
        <v>13</v>
      </c>
    </row>
    <row r="12" spans="2:10" ht="15" customHeight="1" x14ac:dyDescent="0.2">
      <c r="B12" s="11" t="s">
        <v>13</v>
      </c>
      <c r="J12" s="10" t="s">
        <v>13</v>
      </c>
    </row>
    <row r="13" spans="2:10" ht="15" customHeight="1" x14ac:dyDescent="0.2">
      <c r="B13" s="6" t="s">
        <v>18</v>
      </c>
      <c r="C13" s="7" t="s">
        <v>13</v>
      </c>
      <c r="D13" s="8" t="s">
        <v>13</v>
      </c>
      <c r="E13" s="7" t="s">
        <v>13</v>
      </c>
      <c r="F13" s="8" t="s">
        <v>13</v>
      </c>
      <c r="G13" s="8" t="s">
        <v>14</v>
      </c>
      <c r="H13" s="9" t="s">
        <v>14</v>
      </c>
      <c r="I13" s="8" t="s">
        <v>13</v>
      </c>
      <c r="J13" s="10" t="s">
        <v>13</v>
      </c>
    </row>
    <row r="14" spans="2:10" ht="15" customHeight="1" x14ac:dyDescent="0.2">
      <c r="B14" s="11" t="s">
        <v>13</v>
      </c>
      <c r="J14" s="10" t="s">
        <v>13</v>
      </c>
    </row>
    <row r="15" spans="2:10" ht="15" customHeight="1" x14ac:dyDescent="0.2">
      <c r="B15" s="6" t="s">
        <v>19</v>
      </c>
      <c r="C15" s="7" t="s">
        <v>13</v>
      </c>
      <c r="D15" s="8" t="s">
        <v>13</v>
      </c>
      <c r="E15" s="7" t="s">
        <v>13</v>
      </c>
      <c r="F15" s="8" t="s">
        <v>13</v>
      </c>
      <c r="G15" s="8" t="s">
        <v>14</v>
      </c>
      <c r="H15" s="9" t="s">
        <v>14</v>
      </c>
      <c r="I15" s="8" t="s">
        <v>13</v>
      </c>
      <c r="J15" s="10" t="s">
        <v>13</v>
      </c>
    </row>
    <row r="16" spans="2:10" ht="15" customHeight="1" x14ac:dyDescent="0.2">
      <c r="B16" s="11" t="s">
        <v>13</v>
      </c>
      <c r="J16" s="10" t="s">
        <v>13</v>
      </c>
    </row>
    <row r="17" spans="2:10" ht="15" customHeight="1" x14ac:dyDescent="0.2">
      <c r="B17" s="6" t="s">
        <v>20</v>
      </c>
      <c r="C17" s="7" t="s">
        <v>13</v>
      </c>
      <c r="D17" s="8" t="s">
        <v>13</v>
      </c>
      <c r="E17" s="7" t="s">
        <v>13</v>
      </c>
      <c r="F17" s="8" t="s">
        <v>13</v>
      </c>
      <c r="G17" s="8" t="s">
        <v>14</v>
      </c>
      <c r="H17" s="9" t="s">
        <v>14</v>
      </c>
      <c r="I17" s="8" t="s">
        <v>13</v>
      </c>
      <c r="J17" s="10" t="s">
        <v>13</v>
      </c>
    </row>
    <row r="18" spans="2:10" ht="15" customHeight="1" x14ac:dyDescent="0.2">
      <c r="B18" s="11" t="s">
        <v>13</v>
      </c>
      <c r="J18" s="10" t="s">
        <v>13</v>
      </c>
    </row>
    <row r="19" spans="2:10" ht="15" customHeight="1" x14ac:dyDescent="0.2">
      <c r="B19" s="6" t="s">
        <v>21</v>
      </c>
      <c r="C19" s="7" t="s">
        <v>13</v>
      </c>
      <c r="D19" s="8" t="s">
        <v>13</v>
      </c>
      <c r="E19" s="7" t="s">
        <v>13</v>
      </c>
      <c r="F19" s="8" t="s">
        <v>13</v>
      </c>
      <c r="G19" s="8" t="s">
        <v>14</v>
      </c>
      <c r="H19" s="9" t="s">
        <v>14</v>
      </c>
      <c r="I19" s="8" t="s">
        <v>13</v>
      </c>
      <c r="J19" s="10" t="s">
        <v>13</v>
      </c>
    </row>
    <row r="20" spans="2:10" ht="15" customHeight="1" x14ac:dyDescent="0.2">
      <c r="B20" s="11" t="s">
        <v>13</v>
      </c>
      <c r="J20" s="10" t="s">
        <v>13</v>
      </c>
    </row>
    <row r="21" spans="2:10" ht="15" customHeight="1" x14ac:dyDescent="0.2">
      <c r="B21" s="6" t="s">
        <v>22</v>
      </c>
      <c r="C21" s="7" t="s">
        <v>13</v>
      </c>
      <c r="D21" s="8" t="s">
        <v>13</v>
      </c>
      <c r="E21" s="7" t="s">
        <v>13</v>
      </c>
      <c r="F21" s="8" t="s">
        <v>13</v>
      </c>
      <c r="G21" s="8" t="s">
        <v>14</v>
      </c>
      <c r="H21" s="9" t="s">
        <v>14</v>
      </c>
      <c r="I21" s="8" t="s">
        <v>13</v>
      </c>
      <c r="J21" s="10" t="s">
        <v>13</v>
      </c>
    </row>
    <row r="22" spans="2:10" ht="15" customHeight="1" x14ac:dyDescent="0.2">
      <c r="B22" s="11" t="s">
        <v>13</v>
      </c>
      <c r="J22" s="10" t="s">
        <v>13</v>
      </c>
    </row>
    <row r="23" spans="2:10" ht="15" customHeight="1" x14ac:dyDescent="0.2">
      <c r="B23" s="6" t="s">
        <v>23</v>
      </c>
      <c r="C23" s="7" t="s">
        <v>13</v>
      </c>
      <c r="D23" s="8" t="s">
        <v>13</v>
      </c>
      <c r="E23" s="7" t="s">
        <v>13</v>
      </c>
      <c r="F23" s="8" t="s">
        <v>13</v>
      </c>
      <c r="G23" s="8" t="s">
        <v>14</v>
      </c>
      <c r="H23" s="9" t="s">
        <v>14</v>
      </c>
      <c r="I23" s="8" t="s">
        <v>13</v>
      </c>
      <c r="J23" s="10" t="s">
        <v>13</v>
      </c>
    </row>
    <row r="24" spans="2:10" ht="15" customHeight="1" x14ac:dyDescent="0.2">
      <c r="B24" s="11" t="s">
        <v>13</v>
      </c>
      <c r="J24" s="10" t="s">
        <v>13</v>
      </c>
    </row>
    <row r="25" spans="2:10" ht="15" customHeight="1" x14ac:dyDescent="0.2">
      <c r="B25" s="6" t="s">
        <v>24</v>
      </c>
      <c r="C25" s="7" t="s">
        <v>13</v>
      </c>
      <c r="D25" s="8" t="s">
        <v>13</v>
      </c>
      <c r="E25" s="7" t="s">
        <v>13</v>
      </c>
      <c r="F25" s="8" t="s">
        <v>13</v>
      </c>
      <c r="G25" s="8">
        <v>66455.3</v>
      </c>
      <c r="H25" s="9">
        <v>5.4114713970399998E-2</v>
      </c>
      <c r="I25" s="8" t="s">
        <v>13</v>
      </c>
      <c r="J25" s="10" t="s">
        <v>13</v>
      </c>
    </row>
    <row r="26" spans="2:10" ht="15" customHeight="1" x14ac:dyDescent="0.2">
      <c r="B26" s="11" t="s">
        <v>13</v>
      </c>
      <c r="J26" s="10" t="s">
        <v>13</v>
      </c>
    </row>
    <row r="27" spans="2:10" ht="15" customHeight="1" x14ac:dyDescent="0.2">
      <c r="B27" s="6" t="s">
        <v>25</v>
      </c>
      <c r="C27" s="7" t="s">
        <v>13</v>
      </c>
      <c r="D27" s="8" t="s">
        <v>13</v>
      </c>
      <c r="E27" s="7" t="s">
        <v>13</v>
      </c>
      <c r="F27" s="8" t="s">
        <v>13</v>
      </c>
      <c r="G27" s="8" t="s">
        <v>14</v>
      </c>
      <c r="H27" s="9" t="s">
        <v>14</v>
      </c>
      <c r="I27" s="8" t="s">
        <v>13</v>
      </c>
      <c r="J27" s="10" t="s">
        <v>13</v>
      </c>
    </row>
    <row r="28" spans="2:10" ht="15" customHeight="1" x14ac:dyDescent="0.2">
      <c r="B28" s="11" t="s">
        <v>13</v>
      </c>
      <c r="J28" s="10" t="s">
        <v>13</v>
      </c>
    </row>
    <row r="29" spans="2:10" ht="15" customHeight="1" x14ac:dyDescent="0.2">
      <c r="B29" s="6" t="s">
        <v>26</v>
      </c>
      <c r="C29" s="7" t="s">
        <v>13</v>
      </c>
      <c r="D29" s="8" t="s">
        <v>13</v>
      </c>
      <c r="E29" s="7" t="s">
        <v>13</v>
      </c>
      <c r="F29" s="8" t="s">
        <v>13</v>
      </c>
      <c r="G29" s="8" t="s">
        <v>14</v>
      </c>
      <c r="H29" s="9" t="s">
        <v>14</v>
      </c>
      <c r="I29" s="8" t="s">
        <v>13</v>
      </c>
      <c r="J29" s="10" t="s">
        <v>13</v>
      </c>
    </row>
    <row r="30" spans="2:10" ht="15" customHeight="1" x14ac:dyDescent="0.2">
      <c r="B30" s="11" t="s">
        <v>13</v>
      </c>
      <c r="J30" s="10" t="s">
        <v>13</v>
      </c>
    </row>
    <row r="31" spans="2:10" ht="15" customHeight="1" x14ac:dyDescent="0.2">
      <c r="B31" s="6" t="s">
        <v>27</v>
      </c>
      <c r="C31" s="7" t="s">
        <v>13</v>
      </c>
      <c r="D31" s="8" t="s">
        <v>13</v>
      </c>
      <c r="E31" s="7" t="s">
        <v>13</v>
      </c>
      <c r="F31" s="8" t="s">
        <v>13</v>
      </c>
      <c r="G31" s="8" t="s">
        <v>14</v>
      </c>
      <c r="H31" s="9" t="s">
        <v>14</v>
      </c>
      <c r="I31" s="8" t="s">
        <v>13</v>
      </c>
      <c r="J31" s="10" t="s">
        <v>13</v>
      </c>
    </row>
    <row r="32" spans="2:10" ht="15" customHeight="1" x14ac:dyDescent="0.2">
      <c r="B32" s="11" t="s">
        <v>13</v>
      </c>
      <c r="J32" s="10" t="s">
        <v>13</v>
      </c>
    </row>
    <row r="33" spans="2:10" ht="15" customHeight="1" x14ac:dyDescent="0.2">
      <c r="B33" s="6" t="s">
        <v>28</v>
      </c>
      <c r="C33" s="7" t="s">
        <v>13</v>
      </c>
      <c r="D33" s="8" t="s">
        <v>13</v>
      </c>
      <c r="E33" s="7" t="s">
        <v>13</v>
      </c>
      <c r="F33" s="8" t="s">
        <v>13</v>
      </c>
      <c r="G33" s="8">
        <v>66455.3</v>
      </c>
      <c r="H33" s="9">
        <v>5.4114713970399998E-2</v>
      </c>
      <c r="I33" s="8" t="s">
        <v>13</v>
      </c>
      <c r="J33" s="10" t="s">
        <v>13</v>
      </c>
    </row>
    <row r="34" spans="2:10" ht="15" customHeight="1" x14ac:dyDescent="0.2">
      <c r="B34" s="11" t="s">
        <v>29</v>
      </c>
      <c r="C34" s="1" t="s">
        <v>30</v>
      </c>
      <c r="D34" s="1" t="s">
        <v>13</v>
      </c>
      <c r="E34" s="1" t="s">
        <v>31</v>
      </c>
      <c r="F34" s="12">
        <v>31500000</v>
      </c>
      <c r="G34" s="13">
        <v>31468.63</v>
      </c>
      <c r="H34" s="14">
        <v>2.5624982679999998E-2</v>
      </c>
      <c r="I34" s="13">
        <v>5.2</v>
      </c>
      <c r="J34" s="10" t="s">
        <v>13</v>
      </c>
    </row>
    <row r="35" spans="2:10" ht="15" customHeight="1" x14ac:dyDescent="0.2">
      <c r="B35" s="11" t="s">
        <v>29</v>
      </c>
      <c r="C35" s="1" t="s">
        <v>32</v>
      </c>
      <c r="D35" s="1" t="s">
        <v>13</v>
      </c>
      <c r="E35" s="1" t="s">
        <v>31</v>
      </c>
      <c r="F35" s="12">
        <v>25000000</v>
      </c>
      <c r="G35" s="13">
        <v>24996.63</v>
      </c>
      <c r="H35" s="14">
        <v>2.0354817188000002E-2</v>
      </c>
      <c r="I35" s="13">
        <v>4.93</v>
      </c>
      <c r="J35" s="10" t="s">
        <v>13</v>
      </c>
    </row>
    <row r="36" spans="2:10" ht="15" customHeight="1" x14ac:dyDescent="0.2">
      <c r="B36" s="11" t="s">
        <v>33</v>
      </c>
      <c r="C36" s="1" t="s">
        <v>34</v>
      </c>
      <c r="D36" s="1" t="s">
        <v>13</v>
      </c>
      <c r="E36" s="1" t="s">
        <v>31</v>
      </c>
      <c r="F36" s="12">
        <v>10000000</v>
      </c>
      <c r="G36" s="13">
        <v>9990.0400000000009</v>
      </c>
      <c r="H36" s="14">
        <v>8.1349141024E-3</v>
      </c>
      <c r="I36" s="13">
        <v>5.2</v>
      </c>
      <c r="J36" s="10" t="s">
        <v>13</v>
      </c>
    </row>
    <row r="37" spans="2:10" ht="15" customHeight="1" x14ac:dyDescent="0.2">
      <c r="B37" s="11" t="s">
        <v>13</v>
      </c>
      <c r="J37" s="10" t="s">
        <v>13</v>
      </c>
    </row>
    <row r="38" spans="2:10" ht="15" customHeight="1" x14ac:dyDescent="0.2">
      <c r="B38" s="6" t="s">
        <v>35</v>
      </c>
      <c r="C38" s="7" t="s">
        <v>13</v>
      </c>
      <c r="D38" s="8" t="s">
        <v>13</v>
      </c>
      <c r="E38" s="7" t="s">
        <v>13</v>
      </c>
      <c r="F38" s="8" t="s">
        <v>13</v>
      </c>
      <c r="G38" s="8">
        <v>1042267.51</v>
      </c>
      <c r="H38" s="9">
        <v>0.84872099267430001</v>
      </c>
      <c r="I38" s="8" t="s">
        <v>13</v>
      </c>
      <c r="J38" s="10" t="s">
        <v>13</v>
      </c>
    </row>
    <row r="39" spans="2:10" ht="15" customHeight="1" x14ac:dyDescent="0.2">
      <c r="B39" s="11" t="s">
        <v>36</v>
      </c>
      <c r="C39" s="7"/>
      <c r="D39" s="8"/>
      <c r="E39" s="7"/>
      <c r="F39" s="8"/>
      <c r="G39" s="13">
        <v>119482.83</v>
      </c>
      <c r="H39" s="14">
        <f>G39/$G$38*$H$38</f>
        <v>9.729516185833581E-2</v>
      </c>
      <c r="I39" s="8"/>
      <c r="J39" s="10"/>
    </row>
    <row r="40" spans="2:10" ht="15" customHeight="1" x14ac:dyDescent="0.2">
      <c r="B40" s="11" t="s">
        <v>36</v>
      </c>
      <c r="C40" s="7"/>
      <c r="D40" s="8"/>
      <c r="E40" s="7"/>
      <c r="F40" s="8"/>
      <c r="G40" s="13">
        <v>776393.51</v>
      </c>
      <c r="H40" s="14">
        <f>G40/$G$38*$H$38</f>
        <v>0.63221914162236914</v>
      </c>
      <c r="I40" s="8"/>
      <c r="J40" s="10"/>
    </row>
    <row r="41" spans="2:10" ht="15" customHeight="1" x14ac:dyDescent="0.2">
      <c r="B41" s="11" t="s">
        <v>36</v>
      </c>
      <c r="C41" s="7"/>
      <c r="D41" s="8"/>
      <c r="E41" s="7"/>
      <c r="F41" s="8"/>
      <c r="G41" s="13">
        <v>146391.17000000001</v>
      </c>
      <c r="H41" s="14">
        <f>G41/$G$38*$H$38</f>
        <v>0.11920668919359505</v>
      </c>
      <c r="I41" s="8"/>
      <c r="J41" s="10"/>
    </row>
    <row r="42" spans="2:10" ht="15" customHeight="1" x14ac:dyDescent="0.2">
      <c r="B42" s="11" t="s">
        <v>13</v>
      </c>
      <c r="J42" s="10" t="s">
        <v>13</v>
      </c>
    </row>
    <row r="43" spans="2:10" ht="15" customHeight="1" x14ac:dyDescent="0.2">
      <c r="B43" s="6" t="s">
        <v>37</v>
      </c>
      <c r="C43" s="7" t="s">
        <v>13</v>
      </c>
      <c r="D43" s="8" t="s">
        <v>13</v>
      </c>
      <c r="E43" s="7" t="s">
        <v>13</v>
      </c>
      <c r="F43" s="8" t="s">
        <v>13</v>
      </c>
      <c r="G43" s="8" t="s">
        <v>14</v>
      </c>
      <c r="H43" s="9" t="s">
        <v>14</v>
      </c>
      <c r="I43" s="8" t="s">
        <v>13</v>
      </c>
      <c r="J43" s="10" t="s">
        <v>13</v>
      </c>
    </row>
    <row r="44" spans="2:10" ht="15" customHeight="1" x14ac:dyDescent="0.2">
      <c r="B44" s="11" t="s">
        <v>13</v>
      </c>
      <c r="J44" s="10" t="s">
        <v>13</v>
      </c>
    </row>
    <row r="45" spans="2:10" ht="15" customHeight="1" x14ac:dyDescent="0.2">
      <c r="B45" s="6" t="s">
        <v>38</v>
      </c>
      <c r="C45" s="7" t="s">
        <v>13</v>
      </c>
      <c r="D45" s="8" t="s">
        <v>13</v>
      </c>
      <c r="E45" s="7" t="s">
        <v>13</v>
      </c>
      <c r="F45" s="8" t="s">
        <v>13</v>
      </c>
      <c r="G45" s="8">
        <v>113389.87</v>
      </c>
      <c r="H45" s="9">
        <v>9.2333649569099993E-2</v>
      </c>
      <c r="I45" s="8" t="s">
        <v>13</v>
      </c>
      <c r="J45" s="10" t="s">
        <v>13</v>
      </c>
    </row>
    <row r="46" spans="2:10" ht="15" customHeight="1" x14ac:dyDescent="0.2">
      <c r="B46" s="11" t="s">
        <v>13</v>
      </c>
      <c r="J46" s="10" t="s">
        <v>13</v>
      </c>
    </row>
    <row r="47" spans="2:10" ht="15" customHeight="1" x14ac:dyDescent="0.2">
      <c r="B47" s="15" t="s">
        <v>39</v>
      </c>
      <c r="C47" s="16" t="s">
        <v>13</v>
      </c>
      <c r="D47" s="16" t="s">
        <v>13</v>
      </c>
      <c r="E47" s="16" t="s">
        <v>13</v>
      </c>
      <c r="F47" s="16" t="s">
        <v>13</v>
      </c>
      <c r="G47" s="16">
        <v>5932.2475983197801</v>
      </c>
      <c r="H47" s="17">
        <v>4.830643785908909E-3</v>
      </c>
      <c r="I47" s="16" t="s">
        <v>13</v>
      </c>
      <c r="J47" s="18" t="s">
        <v>13</v>
      </c>
    </row>
    <row r="48" spans="2:10" ht="15" customHeight="1" x14ac:dyDescent="0.2">
      <c r="B48" s="15" t="s">
        <v>40</v>
      </c>
      <c r="C48" s="16" t="s">
        <v>13</v>
      </c>
      <c r="D48" s="16" t="s">
        <v>13</v>
      </c>
      <c r="E48" s="16" t="s">
        <v>13</v>
      </c>
      <c r="F48" s="16" t="s">
        <v>13</v>
      </c>
      <c r="G48" s="16">
        <v>1228044.9275983199</v>
      </c>
      <c r="H48" s="17">
        <v>0.9999999999997089</v>
      </c>
      <c r="I48" s="16" t="s">
        <v>13</v>
      </c>
      <c r="J48" s="18" t="s">
        <v>13</v>
      </c>
    </row>
    <row r="51" spans="2:5" ht="15" customHeight="1" x14ac:dyDescent="0.2">
      <c r="B51" s="19" t="s">
        <v>41</v>
      </c>
    </row>
    <row r="52" spans="2:5" ht="12.75" x14ac:dyDescent="0.2">
      <c r="B52" s="1" t="s">
        <v>42</v>
      </c>
      <c r="C52" s="1" t="s">
        <v>14</v>
      </c>
    </row>
    <row r="53" spans="2:5" ht="12.75" x14ac:dyDescent="0.2">
      <c r="B53" s="1" t="s">
        <v>43</v>
      </c>
      <c r="C53" s="1" t="s">
        <v>14</v>
      </c>
    </row>
    <row r="54" spans="2:5" ht="12.75" x14ac:dyDescent="0.2">
      <c r="B54" s="19" t="s">
        <v>44</v>
      </c>
    </row>
    <row r="56" spans="2:5" ht="35.1" customHeight="1" x14ac:dyDescent="0.2">
      <c r="B56" s="20" t="s">
        <v>45</v>
      </c>
      <c r="C56" s="20" t="s">
        <v>46</v>
      </c>
      <c r="D56" s="20" t="s">
        <v>47</v>
      </c>
      <c r="E56" s="21" t="s">
        <v>48</v>
      </c>
    </row>
    <row r="57" spans="2:5" ht="12.75" x14ac:dyDescent="0.2">
      <c r="B57" s="11" t="s">
        <v>49</v>
      </c>
      <c r="C57" s="22">
        <v>1473.2585999999999</v>
      </c>
      <c r="D57" s="22">
        <v>1479.0482</v>
      </c>
      <c r="E57" s="23" t="s">
        <v>50</v>
      </c>
    </row>
    <row r="58" spans="2:5" ht="12.75" x14ac:dyDescent="0.2">
      <c r="B58" s="11" t="s">
        <v>51</v>
      </c>
      <c r="C58" s="22">
        <v>1000.005</v>
      </c>
      <c r="D58" s="22">
        <v>1000.005</v>
      </c>
      <c r="E58" s="23">
        <v>3.9228180700000004</v>
      </c>
    </row>
    <row r="59" spans="2:5" ht="12.75" x14ac:dyDescent="0.2">
      <c r="B59" s="11" t="s">
        <v>52</v>
      </c>
      <c r="C59" s="22">
        <v>1000.9514</v>
      </c>
      <c r="D59" s="22">
        <v>1000.2775</v>
      </c>
      <c r="E59" s="23">
        <v>4.5956999999999999</v>
      </c>
    </row>
    <row r="60" spans="2:5" ht="12.75" x14ac:dyDescent="0.2">
      <c r="B60" s="11" t="s">
        <v>53</v>
      </c>
      <c r="C60" s="22">
        <v>1482.7363</v>
      </c>
      <c r="D60" s="22">
        <v>1488.6374000000001</v>
      </c>
      <c r="E60" s="23" t="s">
        <v>50</v>
      </c>
    </row>
    <row r="61" spans="2:5" ht="12.75" x14ac:dyDescent="0.2">
      <c r="B61" s="11" t="s">
        <v>54</v>
      </c>
      <c r="C61" s="22">
        <v>1000.005</v>
      </c>
      <c r="D61" s="22">
        <v>1000.005</v>
      </c>
      <c r="E61" s="23">
        <v>3.9737740499999998</v>
      </c>
    </row>
    <row r="62" spans="2:5" ht="12.75" x14ac:dyDescent="0.2">
      <c r="B62" s="11" t="s">
        <v>55</v>
      </c>
      <c r="C62" s="22">
        <v>1000.966</v>
      </c>
      <c r="D62" s="22">
        <v>1000.2799</v>
      </c>
      <c r="E62" s="23">
        <v>4.6571999999999996</v>
      </c>
    </row>
    <row r="63" spans="2:5" ht="12.75" x14ac:dyDescent="0.2">
      <c r="B63" s="11" t="s">
        <v>56</v>
      </c>
      <c r="C63" s="22">
        <v>1000</v>
      </c>
      <c r="D63" s="22">
        <v>1000</v>
      </c>
      <c r="E63" s="23" t="s">
        <v>50</v>
      </c>
    </row>
    <row r="64" spans="2:5" ht="12.75" x14ac:dyDescent="0.2">
      <c r="B64" s="11" t="s">
        <v>57</v>
      </c>
      <c r="C64" s="22">
        <v>1308.2448999999999</v>
      </c>
      <c r="D64" s="22">
        <v>1313.4508000000001</v>
      </c>
      <c r="E64" s="23" t="s">
        <v>50</v>
      </c>
    </row>
    <row r="65" spans="2:9" ht="12.75" x14ac:dyDescent="0.2">
      <c r="B65" s="11" t="s">
        <v>58</v>
      </c>
      <c r="C65" s="22">
        <v>1000</v>
      </c>
      <c r="D65" s="22">
        <v>1000</v>
      </c>
      <c r="E65" s="23" t="s">
        <v>50</v>
      </c>
    </row>
    <row r="66" spans="2:9" ht="12.75" x14ac:dyDescent="0.2">
      <c r="B66" s="11" t="s">
        <v>59</v>
      </c>
      <c r="C66" s="22">
        <v>1308.2572</v>
      </c>
      <c r="D66" s="22">
        <v>1313.4632999999999</v>
      </c>
      <c r="E66" s="23" t="s">
        <v>50</v>
      </c>
    </row>
    <row r="67" spans="2:9" ht="12.75" x14ac:dyDescent="0.2">
      <c r="B67" s="24" t="s">
        <v>13</v>
      </c>
      <c r="C67" s="24" t="s">
        <v>13</v>
      </c>
      <c r="D67" s="24" t="s">
        <v>13</v>
      </c>
      <c r="E67" s="24" t="s">
        <v>13</v>
      </c>
    </row>
    <row r="68" spans="2:9" ht="12.75" x14ac:dyDescent="0.2">
      <c r="B68" s="1" t="s">
        <v>60</v>
      </c>
      <c r="C68" s="1" t="s">
        <v>14</v>
      </c>
    </row>
    <row r="69" spans="2:9" ht="12.75" x14ac:dyDescent="0.2">
      <c r="B69" s="1" t="s">
        <v>61</v>
      </c>
      <c r="C69" s="1" t="s">
        <v>14</v>
      </c>
    </row>
    <row r="70" spans="2:9" ht="12.75" x14ac:dyDescent="0.2">
      <c r="B70" s="1" t="s">
        <v>62</v>
      </c>
      <c r="C70" s="1" t="s">
        <v>63</v>
      </c>
    </row>
    <row r="71" spans="2:9" ht="12.75" x14ac:dyDescent="0.2">
      <c r="B71" s="1" t="s">
        <v>64</v>
      </c>
      <c r="C71" s="1" t="s">
        <v>14</v>
      </c>
    </row>
    <row r="73" spans="2:9" ht="15" customHeight="1" x14ac:dyDescent="0.2">
      <c r="B73" s="45" t="s">
        <v>65</v>
      </c>
      <c r="C73" s="41"/>
      <c r="D73" s="41"/>
      <c r="E73" s="41"/>
      <c r="F73" s="41"/>
      <c r="G73" s="41"/>
      <c r="H73" s="41"/>
      <c r="I73" s="41"/>
    </row>
    <row r="74" spans="2:9" ht="15" customHeight="1" x14ac:dyDescent="0.2">
      <c r="B74" s="45" t="s">
        <v>66</v>
      </c>
      <c r="C74" s="41"/>
      <c r="D74" s="41"/>
      <c r="E74" s="41"/>
      <c r="F74" s="41"/>
      <c r="G74" s="41"/>
      <c r="H74" s="41"/>
    </row>
    <row r="75" spans="2:9" ht="27.6" customHeight="1" x14ac:dyDescent="0.2">
      <c r="B75" s="40" t="s">
        <v>67</v>
      </c>
      <c r="C75" s="41"/>
      <c r="D75" s="41"/>
      <c r="E75" s="41"/>
      <c r="F75" s="41"/>
      <c r="G75" s="41"/>
      <c r="H75" s="41"/>
    </row>
    <row r="76" spans="2:9" ht="27.6" customHeight="1" x14ac:dyDescent="0.2">
      <c r="B76" s="40" t="s">
        <v>68</v>
      </c>
      <c r="C76" s="41"/>
      <c r="D76" s="41"/>
      <c r="E76" s="41"/>
      <c r="F76" s="41"/>
      <c r="G76" s="41"/>
      <c r="H76" s="41"/>
    </row>
    <row r="77" spans="2:9" ht="27.6" customHeight="1" x14ac:dyDescent="0.2">
      <c r="B77" s="40" t="s">
        <v>69</v>
      </c>
      <c r="C77" s="41"/>
      <c r="D77" s="41"/>
      <c r="E77" s="41"/>
      <c r="F77" s="41"/>
      <c r="G77" s="41"/>
      <c r="H77" s="41"/>
    </row>
    <row r="80" spans="2:9" ht="12.75" x14ac:dyDescent="0.2">
      <c r="B80" s="2" t="s">
        <v>70</v>
      </c>
    </row>
    <row r="95" spans="2:2" ht="12.75" x14ac:dyDescent="0.2">
      <c r="B95" s="2" t="s">
        <v>71</v>
      </c>
    </row>
    <row r="96" spans="2:2" ht="12.75" x14ac:dyDescent="0.2">
      <c r="B96" s="2" t="s">
        <v>72</v>
      </c>
    </row>
  </sheetData>
  <mergeCells count="8">
    <mergeCell ref="B75:H75"/>
    <mergeCell ref="B76:H76"/>
    <mergeCell ref="B77:H77"/>
    <mergeCell ref="B1:J1"/>
    <mergeCell ref="B2:J2"/>
    <mergeCell ref="B3:J3"/>
    <mergeCell ref="B73:I73"/>
    <mergeCell ref="B74:H7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ABD7-E1A2-4AEC-88E5-89BD71DBA8B6}">
  <dimension ref="A1:F49"/>
  <sheetViews>
    <sheetView workbookViewId="0"/>
  </sheetViews>
  <sheetFormatPr defaultRowHeight="12.75" x14ac:dyDescent="0.2"/>
  <cols>
    <col min="2" max="2" width="29.42578125" customWidth="1"/>
    <col min="3" max="3" width="19" customWidth="1"/>
    <col min="4" max="4" width="20" style="30" customWidth="1"/>
    <col min="5" max="5" width="20.85546875" customWidth="1"/>
    <col min="6" max="6" width="26.28515625" bestFit="1" customWidth="1"/>
  </cols>
  <sheetData>
    <row r="1" spans="1:6" x14ac:dyDescent="0.2">
      <c r="B1" s="25" t="s">
        <v>73</v>
      </c>
      <c r="C1" s="2"/>
      <c r="D1" s="2"/>
      <c r="E1" s="2"/>
      <c r="F1" s="2"/>
    </row>
    <row r="2" spans="1:6" x14ac:dyDescent="0.2">
      <c r="B2" s="25"/>
      <c r="C2" s="2"/>
      <c r="D2" s="2"/>
      <c r="E2" s="2"/>
      <c r="F2" s="2"/>
    </row>
    <row r="3" spans="1:6" x14ac:dyDescent="0.2">
      <c r="A3">
        <v>1</v>
      </c>
      <c r="B3" s="39" t="s">
        <v>74</v>
      </c>
      <c r="C3" s="39" t="s">
        <v>75</v>
      </c>
      <c r="D3" s="39" t="s">
        <v>75</v>
      </c>
      <c r="E3" s="39" t="s">
        <v>75</v>
      </c>
      <c r="F3" s="39" t="s">
        <v>75</v>
      </c>
    </row>
    <row r="4" spans="1:6" x14ac:dyDescent="0.2">
      <c r="D4"/>
    </row>
    <row r="5" spans="1:6" x14ac:dyDescent="0.2">
      <c r="A5">
        <v>2</v>
      </c>
      <c r="B5" s="39" t="s">
        <v>76</v>
      </c>
      <c r="C5" s="39" t="s">
        <v>77</v>
      </c>
      <c r="D5" s="39" t="s">
        <v>77</v>
      </c>
      <c r="E5" s="39" t="s">
        <v>77</v>
      </c>
      <c r="F5" s="39" t="s">
        <v>77</v>
      </c>
    </row>
    <row r="6" spans="1:6" x14ac:dyDescent="0.2">
      <c r="B6" s="26"/>
      <c r="C6" s="26"/>
      <c r="D6" s="26"/>
      <c r="E6" s="26"/>
      <c r="F6" s="26"/>
    </row>
    <row r="7" spans="1:6" x14ac:dyDescent="0.2">
      <c r="A7">
        <v>3</v>
      </c>
      <c r="B7" s="39" t="s">
        <v>78</v>
      </c>
      <c r="C7" s="39" t="s">
        <v>79</v>
      </c>
      <c r="D7" s="39" t="s">
        <v>79</v>
      </c>
      <c r="E7" s="39" t="s">
        <v>79</v>
      </c>
    </row>
    <row r="8" spans="1:6" x14ac:dyDescent="0.2">
      <c r="D8"/>
    </row>
    <row r="9" spans="1:6" x14ac:dyDescent="0.2">
      <c r="A9">
        <v>4</v>
      </c>
      <c r="B9" s="39" t="s">
        <v>80</v>
      </c>
      <c r="C9" s="39" t="s">
        <v>81</v>
      </c>
      <c r="D9" s="39" t="s">
        <v>81</v>
      </c>
      <c r="E9" s="39" t="s">
        <v>81</v>
      </c>
      <c r="F9" s="39" t="s">
        <v>81</v>
      </c>
    </row>
    <row r="10" spans="1:6" x14ac:dyDescent="0.2">
      <c r="B10" s="26"/>
      <c r="C10" s="26"/>
      <c r="D10" s="26"/>
      <c r="E10" s="26"/>
      <c r="F10" s="26"/>
    </row>
    <row r="11" spans="1:6" x14ac:dyDescent="0.2">
      <c r="A11">
        <v>5</v>
      </c>
      <c r="B11" s="39" t="s">
        <v>82</v>
      </c>
      <c r="C11" s="39"/>
      <c r="D11" s="39"/>
      <c r="E11" s="39"/>
      <c r="F11" s="39"/>
    </row>
    <row r="12" spans="1:6" x14ac:dyDescent="0.2">
      <c r="B12" s="26"/>
      <c r="C12" s="26"/>
      <c r="D12" s="26"/>
      <c r="E12" s="26"/>
      <c r="F12" s="26"/>
    </row>
    <row r="13" spans="1:6" x14ac:dyDescent="0.2">
      <c r="A13" s="27" t="s">
        <v>83</v>
      </c>
      <c r="B13" s="39" t="s">
        <v>84</v>
      </c>
      <c r="C13" s="39"/>
      <c r="D13" s="39"/>
      <c r="E13" s="39"/>
      <c r="F13" s="39"/>
    </row>
    <row r="15" spans="1:6" x14ac:dyDescent="0.2">
      <c r="A15" s="27" t="s">
        <v>85</v>
      </c>
      <c r="B15" s="39" t="s">
        <v>84</v>
      </c>
      <c r="C15" s="39"/>
      <c r="D15" s="39"/>
      <c r="E15" s="39"/>
      <c r="F15" s="39"/>
    </row>
    <row r="17" spans="1:6" ht="15" x14ac:dyDescent="0.3">
      <c r="A17">
        <v>7</v>
      </c>
      <c r="B17" s="28" t="s">
        <v>86</v>
      </c>
      <c r="C17" s="29"/>
      <c r="D17" s="29"/>
      <c r="E17" s="29"/>
      <c r="F17" s="29"/>
    </row>
    <row r="18" spans="1:6" ht="15" x14ac:dyDescent="0.3">
      <c r="B18" s="28"/>
      <c r="C18" s="29"/>
      <c r="D18" s="29"/>
      <c r="E18" s="29"/>
      <c r="F18" s="29"/>
    </row>
    <row r="19" spans="1:6" x14ac:dyDescent="0.2">
      <c r="A19">
        <v>8</v>
      </c>
      <c r="B19" t="s">
        <v>87</v>
      </c>
    </row>
    <row r="21" spans="1:6" x14ac:dyDescent="0.2">
      <c r="A21">
        <v>9</v>
      </c>
      <c r="B21" t="s">
        <v>88</v>
      </c>
    </row>
    <row r="23" spans="1:6" ht="15" x14ac:dyDescent="0.2">
      <c r="B23" s="31" t="s">
        <v>89</v>
      </c>
      <c r="C23" s="31" t="s">
        <v>90</v>
      </c>
      <c r="D23" s="31" t="s">
        <v>91</v>
      </c>
      <c r="E23" s="31" t="s">
        <v>92</v>
      </c>
      <c r="F23" s="32" t="s">
        <v>93</v>
      </c>
    </row>
    <row r="24" spans="1:6" ht="15" x14ac:dyDescent="0.3">
      <c r="B24" s="33" t="s">
        <v>1</v>
      </c>
      <c r="C24" s="34">
        <v>46266</v>
      </c>
      <c r="D24" s="35">
        <v>139979.8291</v>
      </c>
      <c r="E24" s="35" t="s">
        <v>94</v>
      </c>
      <c r="F24" s="36">
        <v>9.4174848692121893E-2</v>
      </c>
    </row>
    <row r="25" spans="1:6" ht="15" x14ac:dyDescent="0.3">
      <c r="B25" s="33" t="s">
        <v>1</v>
      </c>
      <c r="C25" s="37">
        <v>46267</v>
      </c>
      <c r="D25" s="35">
        <v>129481.62532000001</v>
      </c>
      <c r="E25" s="38" t="s">
        <v>94</v>
      </c>
      <c r="F25" s="36">
        <v>8.5589424995872174E-2</v>
      </c>
    </row>
    <row r="26" spans="1:6" ht="15" x14ac:dyDescent="0.3">
      <c r="B26" s="33" t="s">
        <v>1</v>
      </c>
      <c r="C26" s="34">
        <v>46268</v>
      </c>
      <c r="D26" s="35">
        <v>106480.22871</v>
      </c>
      <c r="E26" s="35" t="s">
        <v>94</v>
      </c>
      <c r="F26" s="36">
        <v>6.8637165639971215E-2</v>
      </c>
    </row>
    <row r="27" spans="1:6" ht="15" x14ac:dyDescent="0.3">
      <c r="B27" s="33" t="s">
        <v>1</v>
      </c>
      <c r="C27" s="37">
        <v>46268</v>
      </c>
      <c r="D27" s="35">
        <v>14997.842780000001</v>
      </c>
      <c r="E27" s="38" t="s">
        <v>94</v>
      </c>
      <c r="F27" s="36">
        <v>9.6676108945700483E-3</v>
      </c>
    </row>
    <row r="28" spans="1:6" ht="15" x14ac:dyDescent="0.3">
      <c r="B28" s="33" t="s">
        <v>1</v>
      </c>
      <c r="C28" s="34">
        <v>46269</v>
      </c>
      <c r="D28" s="35">
        <v>109909.74037</v>
      </c>
      <c r="E28" s="35" t="s">
        <v>94</v>
      </c>
      <c r="F28" s="36">
        <v>7.5542686699373196E-2</v>
      </c>
    </row>
    <row r="29" spans="1:6" ht="15" x14ac:dyDescent="0.3">
      <c r="B29" s="33" t="s">
        <v>1</v>
      </c>
      <c r="C29" s="37">
        <v>46272</v>
      </c>
      <c r="D29" s="35">
        <v>128282.60769</v>
      </c>
      <c r="E29" s="38" t="s">
        <v>94</v>
      </c>
      <c r="F29" s="36">
        <v>8.4040655166131628E-2</v>
      </c>
    </row>
    <row r="30" spans="1:6" ht="15" x14ac:dyDescent="0.3">
      <c r="B30" s="33" t="s">
        <v>1</v>
      </c>
      <c r="C30" s="34">
        <v>46273</v>
      </c>
      <c r="D30" s="35">
        <v>147889.99028</v>
      </c>
      <c r="E30" s="35" t="s">
        <v>94</v>
      </c>
      <c r="F30" s="36">
        <v>9.7162290724894115E-2</v>
      </c>
    </row>
    <row r="31" spans="1:6" ht="15" x14ac:dyDescent="0.3">
      <c r="B31" s="33" t="s">
        <v>1</v>
      </c>
      <c r="C31" s="37">
        <v>46273</v>
      </c>
      <c r="D31" s="35">
        <v>1999.71237</v>
      </c>
      <c r="E31" s="38" t="s">
        <v>94</v>
      </c>
      <c r="F31" s="36">
        <v>1.3137916521073899E-3</v>
      </c>
    </row>
    <row r="32" spans="1:6" ht="15" x14ac:dyDescent="0.3">
      <c r="B32" s="33" t="s">
        <v>1</v>
      </c>
      <c r="C32" s="34">
        <v>46274</v>
      </c>
      <c r="D32" s="35">
        <v>129482.583</v>
      </c>
      <c r="E32" s="35" t="s">
        <v>94</v>
      </c>
      <c r="F32" s="36">
        <v>7.7276389519843752E-2</v>
      </c>
    </row>
    <row r="33" spans="2:6" ht="15" x14ac:dyDescent="0.3">
      <c r="B33" s="33" t="s">
        <v>1</v>
      </c>
      <c r="C33" s="37">
        <v>46274</v>
      </c>
      <c r="D33" s="35">
        <v>899.86440000000005</v>
      </c>
      <c r="E33" s="38" t="s">
        <v>94</v>
      </c>
      <c r="F33" s="36">
        <v>5.3704730225717298E-4</v>
      </c>
    </row>
    <row r="34" spans="2:6" ht="15" x14ac:dyDescent="0.3">
      <c r="B34" s="33" t="s">
        <v>1</v>
      </c>
      <c r="C34" s="34">
        <v>46274</v>
      </c>
      <c r="D34" s="35">
        <v>2249.6986000000002</v>
      </c>
      <c r="E34" s="35" t="s">
        <v>94</v>
      </c>
      <c r="F34" s="36">
        <v>1.342640695666746E-3</v>
      </c>
    </row>
    <row r="35" spans="2:6" ht="15" x14ac:dyDescent="0.3">
      <c r="B35" s="33" t="s">
        <v>1</v>
      </c>
      <c r="C35" s="37">
        <v>46275</v>
      </c>
      <c r="D35" s="35">
        <v>108645.46829999999</v>
      </c>
      <c r="E35" s="38" t="s">
        <v>94</v>
      </c>
      <c r="F35" s="36">
        <v>6.722859929083988E-2</v>
      </c>
    </row>
    <row r="36" spans="2:6" ht="15" x14ac:dyDescent="0.3">
      <c r="B36" s="33" t="s">
        <v>1</v>
      </c>
      <c r="C36" s="34">
        <v>46276</v>
      </c>
      <c r="D36" s="35">
        <v>128287.30433</v>
      </c>
      <c r="E36" s="35" t="s">
        <v>94</v>
      </c>
      <c r="F36" s="36">
        <v>8.2273885984091286E-2</v>
      </c>
    </row>
    <row r="37" spans="2:6" ht="15" x14ac:dyDescent="0.3">
      <c r="B37" s="33" t="s">
        <v>1</v>
      </c>
      <c r="C37" s="37">
        <v>46280</v>
      </c>
      <c r="D37" s="35">
        <v>114939.09715</v>
      </c>
      <c r="E37" s="38" t="s">
        <v>94</v>
      </c>
      <c r="F37" s="36">
        <v>7.3298218053163944E-2</v>
      </c>
    </row>
    <row r="38" spans="2:6" ht="15" x14ac:dyDescent="0.3">
      <c r="B38" s="33" t="s">
        <v>1</v>
      </c>
      <c r="C38" s="34">
        <v>46281</v>
      </c>
      <c r="D38" s="35">
        <v>116214.03505999999</v>
      </c>
      <c r="E38" s="35" t="s">
        <v>94</v>
      </c>
      <c r="F38" s="36">
        <v>7.384999711512219E-2</v>
      </c>
    </row>
    <row r="39" spans="2:6" ht="15" x14ac:dyDescent="0.3">
      <c r="B39" s="33" t="s">
        <v>1</v>
      </c>
      <c r="C39" s="37">
        <v>46282</v>
      </c>
      <c r="D39" s="35">
        <v>101275.78671</v>
      </c>
      <c r="E39" s="38" t="s">
        <v>94</v>
      </c>
      <c r="F39" s="36">
        <v>6.0080291720637599E-2</v>
      </c>
    </row>
    <row r="40" spans="2:6" ht="15" x14ac:dyDescent="0.3">
      <c r="B40" s="33" t="s">
        <v>1</v>
      </c>
      <c r="C40" s="34">
        <v>46283</v>
      </c>
      <c r="D40" s="35">
        <v>92646.419750000001</v>
      </c>
      <c r="E40" s="35" t="s">
        <v>94</v>
      </c>
      <c r="F40" s="36">
        <v>5.8242917683080611E-2</v>
      </c>
    </row>
    <row r="41" spans="2:6" ht="15" x14ac:dyDescent="0.3">
      <c r="B41" s="33" t="s">
        <v>1</v>
      </c>
      <c r="C41" s="37">
        <v>46286</v>
      </c>
      <c r="D41" s="35">
        <v>149978.30945</v>
      </c>
      <c r="E41" s="38" t="s">
        <v>94</v>
      </c>
      <c r="F41" s="36">
        <v>9.6226810439247717E-2</v>
      </c>
    </row>
    <row r="42" spans="2:6" ht="15" x14ac:dyDescent="0.3">
      <c r="B42" s="33" t="s">
        <v>1</v>
      </c>
      <c r="C42" s="34">
        <v>46287</v>
      </c>
      <c r="D42" s="35">
        <v>149978.05471999999</v>
      </c>
      <c r="E42" s="35" t="s">
        <v>94</v>
      </c>
      <c r="F42" s="36">
        <v>8.891623180479967E-2</v>
      </c>
    </row>
    <row r="43" spans="2:6" ht="15" x14ac:dyDescent="0.3">
      <c r="B43" s="33" t="s">
        <v>1</v>
      </c>
      <c r="C43" s="37">
        <v>46288</v>
      </c>
      <c r="D43" s="35">
        <v>143804.15706999999</v>
      </c>
      <c r="E43" s="38" t="s">
        <v>94</v>
      </c>
      <c r="F43" s="36">
        <v>8.9872736783189272E-2</v>
      </c>
    </row>
    <row r="44" spans="2:6" ht="15" x14ac:dyDescent="0.3">
      <c r="B44" s="33" t="s">
        <v>1</v>
      </c>
      <c r="C44" s="34">
        <v>46289</v>
      </c>
      <c r="D44" s="35">
        <v>143639.34742000001</v>
      </c>
      <c r="E44" s="35" t="s">
        <v>94</v>
      </c>
      <c r="F44" s="36">
        <v>8.9778311931364166E-2</v>
      </c>
    </row>
    <row r="45" spans="2:6" ht="15" x14ac:dyDescent="0.3">
      <c r="B45" s="33" t="s">
        <v>1</v>
      </c>
      <c r="C45" s="37">
        <v>46290</v>
      </c>
      <c r="D45" s="35">
        <v>146087.36695</v>
      </c>
      <c r="E45" s="35" t="s">
        <v>94</v>
      </c>
      <c r="F45" s="36">
        <v>9.1926655307922336E-2</v>
      </c>
    </row>
    <row r="46" spans="2:6" ht="15" x14ac:dyDescent="0.3">
      <c r="B46" s="33" t="s">
        <v>1</v>
      </c>
      <c r="C46" s="34">
        <v>46293</v>
      </c>
      <c r="D46" s="35">
        <v>133540.7844</v>
      </c>
      <c r="E46" s="35" t="s">
        <v>94</v>
      </c>
      <c r="F46" s="36">
        <v>8.2333723547580701E-2</v>
      </c>
    </row>
    <row r="47" spans="2:6" ht="15" x14ac:dyDescent="0.3">
      <c r="B47" s="33" t="s">
        <v>1</v>
      </c>
      <c r="C47" s="37">
        <v>46293</v>
      </c>
      <c r="D47" s="35">
        <v>11498.29888</v>
      </c>
      <c r="E47" s="35" t="s">
        <v>94</v>
      </c>
      <c r="F47" s="36">
        <v>7.0892032385978469E-3</v>
      </c>
    </row>
    <row r="48" spans="2:6" ht="15" x14ac:dyDescent="0.3">
      <c r="B48" s="33" t="s">
        <v>1</v>
      </c>
      <c r="C48" s="34">
        <v>46294</v>
      </c>
      <c r="D48" s="35">
        <v>146994.04469000001</v>
      </c>
      <c r="E48" s="35" t="s">
        <v>94</v>
      </c>
      <c r="F48" s="36">
        <v>9.0924927460516086E-2</v>
      </c>
    </row>
    <row r="49" spans="2:6" ht="15" x14ac:dyDescent="0.3">
      <c r="B49" s="33" t="s">
        <v>1</v>
      </c>
      <c r="C49" s="37">
        <v>46295</v>
      </c>
      <c r="D49" s="35">
        <v>119482.82524000001</v>
      </c>
      <c r="E49" s="35" t="s">
        <v>94</v>
      </c>
      <c r="F49" s="36">
        <v>9.7295157982266858E-2</v>
      </c>
    </row>
  </sheetData>
  <mergeCells count="7">
    <mergeCell ref="B15:F15"/>
    <mergeCell ref="B3:F3"/>
    <mergeCell ref="B5:F5"/>
    <mergeCell ref="B7:E7"/>
    <mergeCell ref="B9:F9"/>
    <mergeCell ref="B11:F11"/>
    <mergeCell ref="B13:F13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OVERNITE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Tanmaya Katvi/MFOPS/CSO</cp:lastModifiedBy>
  <dcterms:modified xsi:type="dcterms:W3CDTF">2026-10-08T09:50:15Z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2026-10-07T08:09:34Z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379c0fd7-8a99-4119-bb3e-94eaa746087d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