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defaultThemeVersion="202300"/>
  <xr:revisionPtr revIDLastSave="1" documentId="8_{C81239D2-3362-43F2-B805-913924014434}" xr6:coauthVersionLast="47" xr6:coauthVersionMax="47" xr10:uidLastSave="{F6742884-67B2-4F3C-80E2-4EC63FC1B38C}"/>
  <bookViews>
    <workbookView xWindow="-110" yWindow="-110" windowWidth="19420" windowHeight="10300" xr2:uid="{00000000-000D-0000-FFFF-FFFF00000000}"/>
  </bookViews>
  <sheets>
    <sheet name="Index" sheetId="5" r:id="rId1"/>
    <sheet name="ABAFC" sheetId="1" r:id="rId2"/>
    <sheet name="ABALI" sheetId="2" r:id="rId3"/>
    <sheet name="ABALM" sheetId="3" r:id="rId4"/>
    <sheet name="ABASC" sheetId="4" r:id="rId5"/>
  </sheets>
  <definedNames>
    <definedName name="JR_PAGE_ANCHOR_0_1">ABAFC!$A$1</definedName>
    <definedName name="JR_PAGE_ANCHOR_0_2">ABALI!$A$1</definedName>
    <definedName name="JR_PAGE_ANCHOR_0_3">ABALM!$A$1</definedName>
    <definedName name="JR_PAGE_ANCHOR_0_4">ABASC!$A$1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alcChain>
</file>

<file path=xl/sharedStrings.xml><?xml version="1.0" encoding="utf-8"?>
<sst xmlns="http://schemas.openxmlformats.org/spreadsheetml/2006/main" count="1098" uniqueCount="630">
  <si>
    <t>ABAFC</t>
  </si>
  <si>
    <t>Abakkus Mutual Fund</t>
  </si>
  <si>
    <t>Monthly Portfolio Statement as on September 30, 2026</t>
  </si>
  <si>
    <t>Name of the Instrument</t>
  </si>
  <si>
    <t>ISIN</t>
  </si>
  <si>
    <t>Industry* / Rating</t>
  </si>
  <si>
    <t>Quantity</t>
  </si>
  <si>
    <t>Market/Fair Value (Rs. in Lakhs)</t>
  </si>
  <si>
    <t>% to Net Assets</t>
  </si>
  <si>
    <t>YTM</t>
  </si>
  <si>
    <t>Equity &amp; Equity related</t>
  </si>
  <si>
    <t>(a) Listed / awaiting listing on Stock Exchanges</t>
  </si>
  <si>
    <t>IBCL05</t>
  </si>
  <si>
    <t>ICICI Bank Limited</t>
  </si>
  <si>
    <t>INE090A01021</t>
  </si>
  <si>
    <t>Banks</t>
  </si>
  <si>
    <t>HDFB03</t>
  </si>
  <si>
    <t>HDFC Bank Limited</t>
  </si>
  <si>
    <t>INE040A01034</t>
  </si>
  <si>
    <t>SBAI02</t>
  </si>
  <si>
    <t>State Bank of India</t>
  </si>
  <si>
    <t>INE062A01020</t>
  </si>
  <si>
    <t>NTPC01</t>
  </si>
  <si>
    <t>NTPC Limited</t>
  </si>
  <si>
    <t>INE733E01010</t>
  </si>
  <si>
    <t>Power</t>
  </si>
  <si>
    <t>RIND01</t>
  </si>
  <si>
    <t>Reliance Industries Limited</t>
  </si>
  <si>
    <t>INE002A01018</t>
  </si>
  <si>
    <t>Petroleum Products</t>
  </si>
  <si>
    <t>LARS02</t>
  </si>
  <si>
    <t>Larsen &amp; Toubro Limited</t>
  </si>
  <si>
    <t>INE018A01030</t>
  </si>
  <si>
    <t>Construction</t>
  </si>
  <si>
    <t>BINL01</t>
  </si>
  <si>
    <t>Indus Towers Limited</t>
  </si>
  <si>
    <t>INE121J01017</t>
  </si>
  <si>
    <t>Telecom - Services</t>
  </si>
  <si>
    <t>WABT01</t>
  </si>
  <si>
    <t>ZF Commercial Vehicle Control Systems India Limited</t>
  </si>
  <si>
    <t>INE342J01019</t>
  </si>
  <si>
    <t>Auto Components</t>
  </si>
  <si>
    <t>FEBA02</t>
  </si>
  <si>
    <t>The Federal Bank  Limited</t>
  </si>
  <si>
    <t>INE171A01029</t>
  </si>
  <si>
    <t>SCLB01</t>
  </si>
  <si>
    <t>Leela Palaces Hotels &amp; Resorts Limited</t>
  </si>
  <si>
    <t>INE0AQ201015</t>
  </si>
  <si>
    <t>Leisure Services</t>
  </si>
  <si>
    <t>IPAM01</t>
  </si>
  <si>
    <t>ICICI Prudential Asset Management Company Limited</t>
  </si>
  <si>
    <t>INE346A01027</t>
  </si>
  <si>
    <t>Capital Markets</t>
  </si>
  <si>
    <t>AETH01</t>
  </si>
  <si>
    <t>Aether Industries Limited</t>
  </si>
  <si>
    <t>INE0BWX01014</t>
  </si>
  <si>
    <t>Chemicals &amp; Petrochemicals</t>
  </si>
  <si>
    <t>DIXO02</t>
  </si>
  <si>
    <t>Dixon Technologies (India) Limited</t>
  </si>
  <si>
    <t>INE935N01020</t>
  </si>
  <si>
    <t>Consumer Durables</t>
  </si>
  <si>
    <t>INOI01</t>
  </si>
  <si>
    <t>Inox India Limited</t>
  </si>
  <si>
    <t>INE616N01034</t>
  </si>
  <si>
    <t>Industrial Products</t>
  </si>
  <si>
    <t>IIFM02</t>
  </si>
  <si>
    <t>360 One WAM Limited</t>
  </si>
  <si>
    <t>INE466L01038</t>
  </si>
  <si>
    <t>VAML01</t>
  </si>
  <si>
    <t>Vedanta Aluminium Metal Limited</t>
  </si>
  <si>
    <t>INE1CDF01017</t>
  </si>
  <si>
    <t>Non - Ferrous Metals</t>
  </si>
  <si>
    <t>LUPL02</t>
  </si>
  <si>
    <t>Lupin Limited</t>
  </si>
  <si>
    <t>INE326A01037</t>
  </si>
  <si>
    <t>Pharmaceuticals &amp; Biotechnology</t>
  </si>
  <si>
    <t>BBGV02</t>
  </si>
  <si>
    <t>Billionbrains Garage Ventures Ltd</t>
  </si>
  <si>
    <t>INE0HOQ01053</t>
  </si>
  <si>
    <t>MAHI02</t>
  </si>
  <si>
    <t>Mahindra &amp; Mahindra Limited</t>
  </si>
  <si>
    <t>INE101A01026</t>
  </si>
  <si>
    <t>Automobiles</t>
  </si>
  <si>
    <t>AJPH03</t>
  </si>
  <si>
    <t>Ajanta Pharma Limited</t>
  </si>
  <si>
    <t>INE031B01049</t>
  </si>
  <si>
    <t>DIVI02</t>
  </si>
  <si>
    <t>Divi's Laboratories Limited</t>
  </si>
  <si>
    <t>INE361B01024</t>
  </si>
  <si>
    <t>TISC03</t>
  </si>
  <si>
    <t>Tata Steel Limited</t>
  </si>
  <si>
    <t>INE081A01020</t>
  </si>
  <si>
    <t>Ferrous Metals</t>
  </si>
  <si>
    <t>TMLC01</t>
  </si>
  <si>
    <t>Tata Motors Ltd</t>
  </si>
  <si>
    <t>INE1TAE01010</t>
  </si>
  <si>
    <t>Agricultural, Commercial &amp; Construction Vehicles</t>
  </si>
  <si>
    <t>DLFL01</t>
  </si>
  <si>
    <t>DLF Limited</t>
  </si>
  <si>
    <t>INE271C01023</t>
  </si>
  <si>
    <t>Realty</t>
  </si>
  <si>
    <t>MCSP02</t>
  </si>
  <si>
    <t>United Spirits Limited</t>
  </si>
  <si>
    <t>INE854D01024</t>
  </si>
  <si>
    <t>Beverages</t>
  </si>
  <si>
    <t>CROM02</t>
  </si>
  <si>
    <t>CG Power and Industrial Solutions Limited</t>
  </si>
  <si>
    <t>INE067A01029</t>
  </si>
  <si>
    <t>Electrical Equipment</t>
  </si>
  <si>
    <t>EPOL01</t>
  </si>
  <si>
    <t>Emmvee Photovoltaic Power Limited</t>
  </si>
  <si>
    <t>INE1C6T01020</t>
  </si>
  <si>
    <t>IINF02</t>
  </si>
  <si>
    <t>IIFL Finance Limited</t>
  </si>
  <si>
    <t>INE530B01024</t>
  </si>
  <si>
    <t>Finance</t>
  </si>
  <si>
    <t>IPLI01</t>
  </si>
  <si>
    <t>ICICI Prudential Life Insurance Company Limited</t>
  </si>
  <si>
    <t>INE726G01019</t>
  </si>
  <si>
    <t>Insurance</t>
  </si>
  <si>
    <t>EDCA02</t>
  </si>
  <si>
    <t>Edelweiss Financial Services Limited</t>
  </si>
  <si>
    <t>INE532F01054</t>
  </si>
  <si>
    <t>IFEL01</t>
  </si>
  <si>
    <t>Oracle Financial Services Software Limited</t>
  </si>
  <si>
    <t>INE881D01027</t>
  </si>
  <si>
    <t>IT - Software</t>
  </si>
  <si>
    <t>PHFP02</t>
  </si>
  <si>
    <t>PNB Housing Finance Limited</t>
  </si>
  <si>
    <t>INE572E01012</t>
  </si>
  <si>
    <t>BHAE02</t>
  </si>
  <si>
    <t>BEML Limited</t>
  </si>
  <si>
    <t>INE258A01024</t>
  </si>
  <si>
    <t>ARVF01</t>
  </si>
  <si>
    <t>Arvind Fashions Limited</t>
  </si>
  <si>
    <t>INE955V01021</t>
  </si>
  <si>
    <t>Retailing</t>
  </si>
  <si>
    <t>UCTI01</t>
  </si>
  <si>
    <t>Urban Company Ltd</t>
  </si>
  <si>
    <t>INE0CAZ01013</t>
  </si>
  <si>
    <t>KPNE03</t>
  </si>
  <si>
    <t>Kirloskar Pneumatic Company Limited</t>
  </si>
  <si>
    <t>INE811A01038</t>
  </si>
  <si>
    <t>KACE03</t>
  </si>
  <si>
    <t>Kajaria Ceramics Limited</t>
  </si>
  <si>
    <t>INE217B01036</t>
  </si>
  <si>
    <t>BALN01</t>
  </si>
  <si>
    <t>Bajaj Auto Limited</t>
  </si>
  <si>
    <t>INE917I01010</t>
  </si>
  <si>
    <t>CHEL02</t>
  </si>
  <si>
    <t>Zydus Lifesciences Limited</t>
  </si>
  <si>
    <t>INE010B01027</t>
  </si>
  <si>
    <t>IGIP02</t>
  </si>
  <si>
    <t>International Gemological Institute Limited</t>
  </si>
  <si>
    <t>INE0Q9301021</t>
  </si>
  <si>
    <t>Commercial Services &amp; Supplies</t>
  </si>
  <si>
    <t>ESMC02</t>
  </si>
  <si>
    <t>PB Fintech Limited</t>
  </si>
  <si>
    <t>INE417T01026</t>
  </si>
  <si>
    <t>Financial Technology (Fintech)</t>
  </si>
  <si>
    <t>TASP01</t>
  </si>
  <si>
    <t>Vedanta Power Ltd</t>
  </si>
  <si>
    <t>INE694L01019</t>
  </si>
  <si>
    <t>HEFO02</t>
  </si>
  <si>
    <t>Heritage Foods Limited</t>
  </si>
  <si>
    <t>INE978A01027</t>
  </si>
  <si>
    <t>Food Products</t>
  </si>
  <si>
    <t>DEFE01</t>
  </si>
  <si>
    <t>Deepak Fertilizers and Petrochemicals Corporation Limited</t>
  </si>
  <si>
    <t>INE501A01019</t>
  </si>
  <si>
    <t>VORC03</t>
  </si>
  <si>
    <t>Jubilant Pharmova Limited</t>
  </si>
  <si>
    <t>INE700A01033</t>
  </si>
  <si>
    <t>SULS01</t>
  </si>
  <si>
    <t>Supriya Lifescience Limited</t>
  </si>
  <si>
    <t>INE07RO01027</t>
  </si>
  <si>
    <t>Sub Total</t>
  </si>
  <si>
    <t>(b) Unlisted</t>
  </si>
  <si>
    <t>Nil</t>
  </si>
  <si>
    <t>Total</t>
  </si>
  <si>
    <t>Money Market Instruments</t>
  </si>
  <si>
    <t>Certificate of Deposit</t>
  </si>
  <si>
    <t>SIDB628</t>
  </si>
  <si>
    <t>INE556F16BQ4</t>
  </si>
  <si>
    <t>CRISIL A1+</t>
  </si>
  <si>
    <t>Commercial Paper</t>
  </si>
  <si>
    <t>NTPC271</t>
  </si>
  <si>
    <t>INE733E14CH4</t>
  </si>
  <si>
    <t>TREPS / Reverse Repo</t>
  </si>
  <si>
    <t>TRP_011026</t>
  </si>
  <si>
    <t>Triparty Repo</t>
  </si>
  <si>
    <t>Net Receivables / (Payables)</t>
  </si>
  <si>
    <t>GRAND TOTAL</t>
  </si>
  <si>
    <t>*  Industry Classification is as recommended by AMFI</t>
  </si>
  <si>
    <t>#  Unlisted Security</t>
  </si>
  <si>
    <t>Notes :</t>
  </si>
  <si>
    <t>ABALI</t>
  </si>
  <si>
    <t>Rating</t>
  </si>
  <si>
    <t>Debt Instruments</t>
  </si>
  <si>
    <t>IRLY371</t>
  </si>
  <si>
    <t>INE053F08304</t>
  </si>
  <si>
    <t>CRISIL AAA</t>
  </si>
  <si>
    <t>IRLY375</t>
  </si>
  <si>
    <t>INE053F08338</t>
  </si>
  <si>
    <t>GOI3639</t>
  </si>
  <si>
    <t>IN0020210186</t>
  </si>
  <si>
    <t>SOVEREIGN</t>
  </si>
  <si>
    <t>(b) Privately placed / Unlisted</t>
  </si>
  <si>
    <t>Treasury Bill/Cash Management Bill</t>
  </si>
  <si>
    <t>TBIL2681</t>
  </si>
  <si>
    <t>91 Days Tbill (MD 15/10/2026)</t>
  </si>
  <si>
    <t>IN002026X156</t>
  </si>
  <si>
    <t>TBIL2587</t>
  </si>
  <si>
    <t>364 Days Tbill (MD 12/11/2026)</t>
  </si>
  <si>
    <t>IN002025Z336</t>
  </si>
  <si>
    <t>TBIL2590</t>
  </si>
  <si>
    <t>364 Days Tbill (MD 19/11/2026)</t>
  </si>
  <si>
    <t>IN002025Z344</t>
  </si>
  <si>
    <t>TBIL2679</t>
  </si>
  <si>
    <t>91 Days Tbill (MD 08/10/2026)</t>
  </si>
  <si>
    <t>IN002026X149</t>
  </si>
  <si>
    <t>TBIL2682</t>
  </si>
  <si>
    <t>91 Days Tbill (MD 22/10/2026)</t>
  </si>
  <si>
    <t>IN002026X164</t>
  </si>
  <si>
    <t>TBIL2579</t>
  </si>
  <si>
    <t>364 Days Tbill (MD 23/10/2026)</t>
  </si>
  <si>
    <t>IN002025Z302</t>
  </si>
  <si>
    <t>INBK501</t>
  </si>
  <si>
    <t>INE562A16PP5</t>
  </si>
  <si>
    <t>BKBA558</t>
  </si>
  <si>
    <t>INE028A16KT0</t>
  </si>
  <si>
    <t>FITCH A1+</t>
  </si>
  <si>
    <t>SIDB642</t>
  </si>
  <si>
    <t>INE556F16BT8</t>
  </si>
  <si>
    <t>CARE A1+</t>
  </si>
  <si>
    <t>CANB1078</t>
  </si>
  <si>
    <t>INE476A16F78</t>
  </si>
  <si>
    <t>KMBK898</t>
  </si>
  <si>
    <t>INE237AD6158</t>
  </si>
  <si>
    <t>HDFB1030</t>
  </si>
  <si>
    <t>INE040A16II2</t>
  </si>
  <si>
    <t>UTIB1398</t>
  </si>
  <si>
    <t>INE238AD6CN6</t>
  </si>
  <si>
    <t>UTIB1389</t>
  </si>
  <si>
    <t>INE238AD6CB1</t>
  </si>
  <si>
    <t>INBK506</t>
  </si>
  <si>
    <t>INE562A16PT7</t>
  </si>
  <si>
    <t>PUBA1138</t>
  </si>
  <si>
    <t>INE160A16TZ9</t>
  </si>
  <si>
    <t>RECL489</t>
  </si>
  <si>
    <t>INE020B14714</t>
  </si>
  <si>
    <t>ICBR707</t>
  </si>
  <si>
    <t>INE763G14I65</t>
  </si>
  <si>
    <t>LICH713</t>
  </si>
  <si>
    <t>INE115A14FY0</t>
  </si>
  <si>
    <t>EXIM835</t>
  </si>
  <si>
    <t>INE514E14TT7</t>
  </si>
  <si>
    <t>IOIC708</t>
  </si>
  <si>
    <t>INE242A14ZC6</t>
  </si>
  <si>
    <t>RIND488</t>
  </si>
  <si>
    <t>INE002A14LT8</t>
  </si>
  <si>
    <t>KOSE445</t>
  </si>
  <si>
    <t>INE028E14YP6</t>
  </si>
  <si>
    <t>ICRA A1+</t>
  </si>
  <si>
    <t>BGFL1202</t>
  </si>
  <si>
    <t>INE674K14CR6</t>
  </si>
  <si>
    <t>BGFL1206</t>
  </si>
  <si>
    <t>INE674K14CW6</t>
  </si>
  <si>
    <t>MOFS283</t>
  </si>
  <si>
    <t>INE338I14NH0</t>
  </si>
  <si>
    <t>KOSE427</t>
  </si>
  <si>
    <t>INE028E14XJ1</t>
  </si>
  <si>
    <t>Others</t>
  </si>
  <si>
    <t>Corporate Debt Market Development Fund</t>
  </si>
  <si>
    <t>CDMD50ME</t>
  </si>
  <si>
    <t>INF0RQ622028</t>
  </si>
  <si>
    <t>ABALM</t>
  </si>
  <si>
    <t>Industry*</t>
  </si>
  <si>
    <t>KOMA03</t>
  </si>
  <si>
    <t>Kotak Mahindra Bank Ltd</t>
  </si>
  <si>
    <t>INE237A01036</t>
  </si>
  <si>
    <t>ONCO02</t>
  </si>
  <si>
    <t>One 97 Communications Limited</t>
  </si>
  <si>
    <t>INE982J01020</t>
  </si>
  <si>
    <t>MKIP01</t>
  </si>
  <si>
    <t>Mankind Pharma Limited</t>
  </si>
  <si>
    <t>INE634S01028</t>
  </si>
  <si>
    <t>LENS01</t>
  </si>
  <si>
    <t>Lenskart Solutions Limited</t>
  </si>
  <si>
    <t>INE956O01016</t>
  </si>
  <si>
    <t>MCEX02</t>
  </si>
  <si>
    <t>Multi Commodity Exchange of India Limited</t>
  </si>
  <si>
    <t>INE745G01043</t>
  </si>
  <si>
    <t>UTIB02</t>
  </si>
  <si>
    <t>Axis Bank Limited</t>
  </si>
  <si>
    <t>INE238A01034</t>
  </si>
  <si>
    <t>WHIL01</t>
  </si>
  <si>
    <t>Wheels India Limited</t>
  </si>
  <si>
    <t>INE715A01015</t>
  </si>
  <si>
    <t>BHEL02</t>
  </si>
  <si>
    <t>Bharat Electronics Limited</t>
  </si>
  <si>
    <t>INE263A01024</t>
  </si>
  <si>
    <t>Aerospace &amp; Defense</t>
  </si>
  <si>
    <t>PFPL01</t>
  </si>
  <si>
    <t>Piramal Finance Limited</t>
  </si>
  <si>
    <t>INE202B01038</t>
  </si>
  <si>
    <t>ENDT01</t>
  </si>
  <si>
    <t>Endurance Technologies Limited</t>
  </si>
  <si>
    <t>INE913H01037</t>
  </si>
  <si>
    <t>KCUL02</t>
  </si>
  <si>
    <t>Cummins India Limited</t>
  </si>
  <si>
    <t>INE298A01020</t>
  </si>
  <si>
    <t>ABFS01</t>
  </si>
  <si>
    <t>Aditya Birla Capital Limited</t>
  </si>
  <si>
    <t>INE674K01013</t>
  </si>
  <si>
    <t>KAVY06</t>
  </si>
  <si>
    <t>Karur Vysya Bank Limited</t>
  </si>
  <si>
    <t>INE036D01028</t>
  </si>
  <si>
    <t>PHMI02</t>
  </si>
  <si>
    <t>The Phoenix Mills Limited</t>
  </si>
  <si>
    <t>INE211B01039</t>
  </si>
  <si>
    <t>EIML02</t>
  </si>
  <si>
    <t>Eicher Motors Limited</t>
  </si>
  <si>
    <t>INE066A01021</t>
  </si>
  <si>
    <t>TENN01</t>
  </si>
  <si>
    <t>Tenneco Clean Air India Limited</t>
  </si>
  <si>
    <t>INE19RI01016</t>
  </si>
  <si>
    <t>ALKE01</t>
  </si>
  <si>
    <t>Alkem Laboratories Limited</t>
  </si>
  <si>
    <t>INE540L01014</t>
  </si>
  <si>
    <t>RACM01</t>
  </si>
  <si>
    <t>Rainbow Childrens Medicare Limited</t>
  </si>
  <si>
    <t>INE961O01016</t>
  </si>
  <si>
    <t>Healthcare Services</t>
  </si>
  <si>
    <t>JSTA02</t>
  </si>
  <si>
    <t>Jindal Stainless Limited</t>
  </si>
  <si>
    <t>INE220G01021</t>
  </si>
  <si>
    <t>EFPL01</t>
  </si>
  <si>
    <t>Equitas Small Finance Bank Limited</t>
  </si>
  <si>
    <t>INE063P01018</t>
  </si>
  <si>
    <t>JSWE01</t>
  </si>
  <si>
    <t>JSW Energy Limited</t>
  </si>
  <si>
    <t>INE121E01018</t>
  </si>
  <si>
    <t>CIPL03</t>
  </si>
  <si>
    <t>Cipla Limited</t>
  </si>
  <si>
    <t>INE059A01026</t>
  </si>
  <si>
    <t>ULCC01</t>
  </si>
  <si>
    <t>UltraTech Cement Limited</t>
  </si>
  <si>
    <t>INE481G01011</t>
  </si>
  <si>
    <t>Cement &amp; Cement Products</t>
  </si>
  <si>
    <t>CSTL01</t>
  </si>
  <si>
    <t>Clean Science and Technology Limited</t>
  </si>
  <si>
    <t>INE227W01023</t>
  </si>
  <si>
    <t>IEIN02</t>
  </si>
  <si>
    <t>Info Edge India Ltd</t>
  </si>
  <si>
    <t>INE663F01032</t>
  </si>
  <si>
    <t>HYUN01</t>
  </si>
  <si>
    <t>Hyundai Motor India Ltd</t>
  </si>
  <si>
    <t>INE0V6F01027</t>
  </si>
  <si>
    <t>SHTR02</t>
  </si>
  <si>
    <t>Shriram Finance Limited</t>
  </si>
  <si>
    <t>INE721A01047</t>
  </si>
  <si>
    <t>SLIF01</t>
  </si>
  <si>
    <t>SBI Life Insurance Company Limited</t>
  </si>
  <si>
    <t>INE123W01016</t>
  </si>
  <si>
    <t>AMBE01</t>
  </si>
  <si>
    <t>Amber Enterprises India Limited</t>
  </si>
  <si>
    <t>INE371P01015</t>
  </si>
  <si>
    <t>BHHX01</t>
  </si>
  <si>
    <t>Bharti Hexacom Limited</t>
  </si>
  <si>
    <t>INE343G01021</t>
  </si>
  <si>
    <t>MOSU03</t>
  </si>
  <si>
    <t>Samvardhana Motherson International Limited</t>
  </si>
  <si>
    <t>INE775A01035</t>
  </si>
  <si>
    <t>IDBK01</t>
  </si>
  <si>
    <t>IDFC First Bank Limited</t>
  </si>
  <si>
    <t>INE092T01019</t>
  </si>
  <si>
    <t>INBK01</t>
  </si>
  <si>
    <t>Indian Bank</t>
  </si>
  <si>
    <t>INE562A01011</t>
  </si>
  <si>
    <t>RCAM01</t>
  </si>
  <si>
    <t>Nippon Life India Asset Management Limited</t>
  </si>
  <si>
    <t>INE298J01013</t>
  </si>
  <si>
    <t>SSNL02</t>
  </si>
  <si>
    <t>Delhivery Limited</t>
  </si>
  <si>
    <t>INE148O01028</t>
  </si>
  <si>
    <t>Transport Services</t>
  </si>
  <si>
    <t>BRIG01</t>
  </si>
  <si>
    <t>Brigade Enterprises Limited</t>
  </si>
  <si>
    <t>INE791I01019</t>
  </si>
  <si>
    <t>COCH02</t>
  </si>
  <si>
    <t>Cochin Shipyard Limited</t>
  </si>
  <si>
    <t>INE704P01025</t>
  </si>
  <si>
    <t>Industrial Manufacturing</t>
  </si>
  <si>
    <t>LETT01</t>
  </si>
  <si>
    <t>Le Travenues Technology Ltd</t>
  </si>
  <si>
    <t>INE0HV901016</t>
  </si>
  <si>
    <t>ABASC</t>
  </si>
  <si>
    <t>WGSR02</t>
  </si>
  <si>
    <t>Welspun Corp Limited</t>
  </si>
  <si>
    <t>INE191B01025</t>
  </si>
  <si>
    <t>VEDF01</t>
  </si>
  <si>
    <t>Vedant Fashions Limited</t>
  </si>
  <si>
    <t>INE825V01034</t>
  </si>
  <si>
    <t>SANE01</t>
  </si>
  <si>
    <t>Sansera Engineering Limited</t>
  </si>
  <si>
    <t>INE953O01021</t>
  </si>
  <si>
    <t>RATG01</t>
  </si>
  <si>
    <t>Rategain Travel Technologies Limited</t>
  </si>
  <si>
    <t>INE0CLI01024</t>
  </si>
  <si>
    <t>CDSL01</t>
  </si>
  <si>
    <t>Central Depository Services (India) Limited</t>
  </si>
  <si>
    <t>INE736A01011</t>
  </si>
  <si>
    <t>DLPL01</t>
  </si>
  <si>
    <t>Dr. Lal Path Labs Limited</t>
  </si>
  <si>
    <t>INE600L01024</t>
  </si>
  <si>
    <t>KENI01</t>
  </si>
  <si>
    <t>Kirloskar Oil Engines Limited</t>
  </si>
  <si>
    <t>INE146L01010</t>
  </si>
  <si>
    <t>STHE01</t>
  </si>
  <si>
    <t>Star Health And Allied Insurance Company Limited</t>
  </si>
  <si>
    <t>INE575P01011</t>
  </si>
  <si>
    <t>SHPI01</t>
  </si>
  <si>
    <t>SPR Auto Technologies Ltd</t>
  </si>
  <si>
    <t>INE526E01018</t>
  </si>
  <si>
    <t>CAMS02</t>
  </si>
  <si>
    <t>Computer Age Management Services Limited</t>
  </si>
  <si>
    <t>INE596I01020</t>
  </si>
  <si>
    <t>CCOI02</t>
  </si>
  <si>
    <t>Container Corporation of India Limited</t>
  </si>
  <si>
    <t>INE111A01025</t>
  </si>
  <si>
    <t>REIN02</t>
  </si>
  <si>
    <t>Redington Limited</t>
  </si>
  <si>
    <t>INE891D01026</t>
  </si>
  <si>
    <t>WIML01</t>
  </si>
  <si>
    <t>Wework India Management Limited</t>
  </si>
  <si>
    <t>INE085001019</t>
  </si>
  <si>
    <t>GIND02</t>
  </si>
  <si>
    <t>Gabriel India Limited</t>
  </si>
  <si>
    <t>INE524A01029</t>
  </si>
  <si>
    <t>IONX02</t>
  </si>
  <si>
    <t>ION Exchange (India) Limited</t>
  </si>
  <si>
    <t>INE570A01022</t>
  </si>
  <si>
    <t>Other Utilities</t>
  </si>
  <si>
    <t>GRCO02</t>
  </si>
  <si>
    <t>Saregama India Limited</t>
  </si>
  <si>
    <t>INE979A01025</t>
  </si>
  <si>
    <t>Entertainment</t>
  </si>
  <si>
    <t>ALPM01</t>
  </si>
  <si>
    <t>Alembic Pharmaceuticals Limited</t>
  </si>
  <si>
    <t>INE901L01018</t>
  </si>
  <si>
    <t>NAGF02</t>
  </si>
  <si>
    <t>NCC Limited</t>
  </si>
  <si>
    <t>INE868B01028</t>
  </si>
  <si>
    <t>KPRM03</t>
  </si>
  <si>
    <t>K.P.R. Mill Limited</t>
  </si>
  <si>
    <t>INE930H01031</t>
  </si>
  <si>
    <t>Textiles &amp; Apparels</t>
  </si>
  <si>
    <t>IDAL01</t>
  </si>
  <si>
    <t>Intellect Design Arena Limited</t>
  </si>
  <si>
    <t>INE306R01017</t>
  </si>
  <si>
    <t>PGEL02</t>
  </si>
  <si>
    <t>PG Electroplast Limited</t>
  </si>
  <si>
    <t>INE457L01029</t>
  </si>
  <si>
    <t>ACEQ02</t>
  </si>
  <si>
    <t>Action Construction Equipment Limited</t>
  </si>
  <si>
    <t>INE731H01025</t>
  </si>
  <si>
    <t>ITNT01</t>
  </si>
  <si>
    <t>AXISCADES Technologies Limited</t>
  </si>
  <si>
    <t>INE555B01013</t>
  </si>
  <si>
    <t>NELA01</t>
  </si>
  <si>
    <t>Neuland Laboratories Limited</t>
  </si>
  <si>
    <t>INE794A01010</t>
  </si>
  <si>
    <t>CEPL02</t>
  </si>
  <si>
    <t>Century Plyboards (India) Limited</t>
  </si>
  <si>
    <t>INE348B01021</t>
  </si>
  <si>
    <t>RATN01</t>
  </si>
  <si>
    <t>RBL Bank Limited</t>
  </si>
  <si>
    <t>INE976G01028</t>
  </si>
  <si>
    <t>BEFS02</t>
  </si>
  <si>
    <t>Mrs. Bectors Food Specialities Ltd</t>
  </si>
  <si>
    <t>INE495P01020</t>
  </si>
  <si>
    <t>GPIS03</t>
  </si>
  <si>
    <t>Godawari Power and Ispat Ltd</t>
  </si>
  <si>
    <t>INE177H01039</t>
  </si>
  <si>
    <t>TSLD02</t>
  </si>
  <si>
    <t>Tanla Platforms Limited</t>
  </si>
  <si>
    <t>INE483C01032</t>
  </si>
  <si>
    <t>CANA01</t>
  </si>
  <si>
    <t>Canara Robeco Asset Management Company Ltd</t>
  </si>
  <si>
    <t>INE218I01013</t>
  </si>
  <si>
    <t>SCHI01</t>
  </si>
  <si>
    <t>Sanofi Consumer Healthcare India Limited</t>
  </si>
  <si>
    <t>INE0UOS01011</t>
  </si>
  <si>
    <t>QLIN01</t>
  </si>
  <si>
    <t>Q-Line Biotech Ltd</t>
  </si>
  <si>
    <t>INE1G2W01011</t>
  </si>
  <si>
    <t>Healthcare Equipment &amp; Supplies</t>
  </si>
  <si>
    <t>SAWP03</t>
  </si>
  <si>
    <t>Jindal Saw Ltd</t>
  </si>
  <si>
    <t>INE324A01032</t>
  </si>
  <si>
    <t>HOCH01</t>
  </si>
  <si>
    <t>Sanofi India Limited</t>
  </si>
  <si>
    <t>INE058A01010</t>
  </si>
  <si>
    <t>RALL02</t>
  </si>
  <si>
    <t>Rallis India Limited</t>
  </si>
  <si>
    <t>INE613A01020</t>
  </si>
  <si>
    <t>Fertilizers &amp; Agrochemicals</t>
  </si>
  <si>
    <t>ANVE01</t>
  </si>
  <si>
    <t>The Anup Engineering Limited</t>
  </si>
  <si>
    <t>INE294Z01018</t>
  </si>
  <si>
    <t>KKCL01</t>
  </si>
  <si>
    <t>Kewal Kiran Clothing Limited</t>
  </si>
  <si>
    <t>INE401H01017</t>
  </si>
  <si>
    <t>ELEV01</t>
  </si>
  <si>
    <t>Elevate Campuses Limited</t>
  </si>
  <si>
    <t>INE147X01013</t>
  </si>
  <si>
    <t>PNCI02</t>
  </si>
  <si>
    <t>PNC Infratech Limited</t>
  </si>
  <si>
    <t>INE195J01029</t>
  </si>
  <si>
    <t>SCIL02</t>
  </si>
  <si>
    <t>Cemindia Projects Ltd</t>
  </si>
  <si>
    <t>INE686A01026</t>
  </si>
  <si>
    <t>INMM01</t>
  </si>
  <si>
    <t>Indo-MIM Limited</t>
  </si>
  <si>
    <t>INE084101034</t>
  </si>
  <si>
    <t>^ YTC i.e. Yield to Call is disclosed at security level only for Additional Tier 1 Bonds and Tier 2 Bonds issued by Banks as per AMFI Best Practices Notification 135/BP/91/2020-21 read with SEBI circular SEBI/HO/IMD/DF4/CIR/P/2021/034</t>
  </si>
  <si>
    <t>(2)  Details of security in default beyond it's maturity date: Nil</t>
  </si>
  <si>
    <t>(3) Plan/ Option wise per unit net asset value are as follows:</t>
  </si>
  <si>
    <t>Plan/Option</t>
  </si>
  <si>
    <t>As on Aug 31, 2026</t>
  </si>
  <si>
    <t>Direct Growth</t>
  </si>
  <si>
    <t>Direct Quarterly IDCW</t>
  </si>
  <si>
    <t>Regular Quarterly IDCW</t>
  </si>
  <si>
    <t>Regular Growth</t>
  </si>
  <si>
    <t>Direct Monthly IDCW</t>
  </si>
  <si>
    <t>Regular Monthly IDCW</t>
  </si>
  <si>
    <t>Regular Weekly IDCW</t>
  </si>
  <si>
    <t>Regular Daily IDCW</t>
  </si>
  <si>
    <t>Direct Weekly IDCW</t>
  </si>
  <si>
    <t>Direct Daily IDCW</t>
  </si>
  <si>
    <t>Unclaimed Redemption Less than 3 Years</t>
  </si>
  <si>
    <t xml:space="preserve">       Plan / Option</t>
  </si>
  <si>
    <t>IDCW per unit (individual's)</t>
  </si>
  <si>
    <t>IDCW per unit (Others)</t>
  </si>
  <si>
    <t>NA</t>
  </si>
  <si>
    <t xml:space="preserve">(5)  Total Value and percentage of illiquid equity shares: Nil </t>
  </si>
  <si>
    <t>(8)  Investment in Repo of Corporate Debt securities : Nil</t>
  </si>
  <si>
    <t>(10) Amount parked in Short Term Deposits is Nil</t>
  </si>
  <si>
    <t>(11) The Face Value per unit is Rs.100</t>
  </si>
  <si>
    <t>(12) IDCW stands for Income Distribution cum Capital Withdrawal</t>
  </si>
  <si>
    <t>(15) Instances of Fair valuation of securities or Deviation in valuation from what is provided by valuation agencies : Nil</t>
  </si>
  <si>
    <t>(16) Details of hedging positions through Interest Rate Derivatives (IRS/IRF) is Nil</t>
  </si>
  <si>
    <t>Portfolio Information</t>
  </si>
  <si>
    <t>Scheme Name : Abakkus Liquid Fund</t>
  </si>
  <si>
    <t>Description : Liquid Fund</t>
  </si>
  <si>
    <t>(1) The provision made for securities classified as below investment grade or default as of Sep 30, 2026 is Rs.Nil and its percentage to Net Asset Value is Nil.</t>
  </si>
  <si>
    <t>As on Sep 30, 2026</t>
  </si>
  <si>
    <t>(6)  Total outstanding exposure in derivative instruments as on Sep 30, 2026: Nil</t>
  </si>
  <si>
    <t>(7)  Total investments in Foreign Securities/ADRs/GDRs/Overseas ETFs as on Sep 30, 2026: Nil</t>
  </si>
  <si>
    <t>(14) Details of transactions of (Credit Default Swap) as on Sep 30, 2026 : Nil</t>
  </si>
  <si>
    <t>As on 30th Sep 2026</t>
  </si>
  <si>
    <t>Abakkus Liquid Fund</t>
  </si>
  <si>
    <t>Abakkus Flexi Cap Fund</t>
  </si>
  <si>
    <t>Abakkus Large &amp; Mid Cap Fund</t>
  </si>
  <si>
    <t>Abakkus Small Cap Fund</t>
  </si>
  <si>
    <t>Direct IDCW</t>
  </si>
  <si>
    <t>Regular IDCW</t>
  </si>
  <si>
    <t xml:space="preserve">(4)  Total Value and percentage of illiquid equity shares: Nil </t>
  </si>
  <si>
    <t>(7)  Investment in Repo of Corporate Debt securities : Nil</t>
  </si>
  <si>
    <t>(11) The Face Value per unit is Rs.10</t>
  </si>
  <si>
    <t>(14) Portfolio Turnover Ratio is not computed since the Scheme has not completed 1 year from its inception.</t>
  </si>
  <si>
    <t>** Securities are classified as non-traded on the basis of Traded data as on Sep 30, 2026  provided by CRISIL and ICRA.</t>
  </si>
  <si>
    <t>(5)  Total outstanding exposure in derivative instruments as on Sep 30, 2026: Nil</t>
  </si>
  <si>
    <t>(6) Total investments in Foreign Securities/ADRs/GDRs/Overseas ETFs as on Sep 30, 2026: Nil</t>
  </si>
  <si>
    <t>(8) The Scheme did not declare any Income Distribution cum Capital Withdrawal during during the month ended Sep 30, 2026.</t>
  </si>
  <si>
    <t>(9) The Scheme did not declare any bonus during the month ended Sep 30, 2026.</t>
  </si>
  <si>
    <t>(13) Details of transactions of (Credit Default Swap) as on Sep 30, 2026 : Nil</t>
  </si>
  <si>
    <t>(6)  Total investments in Foreign Securities/ADRs/GDRs/Overseas ETFs as on Sep 30, 2026: Nil</t>
  </si>
  <si>
    <t>(8) The Scheme did not declare any Income Distribution cum Capital Withdrawal during the Month ended Sep 30, 2026.</t>
  </si>
  <si>
    <t>(9) The Scheme did not declare any bonus during the Month ended Sep 30, 2026.</t>
  </si>
  <si>
    <t>(13) Details of transactions of (Credit Default Swap) as on Sep 30, 2026: Nil</t>
  </si>
  <si>
    <t>Small Industries Dev Bank of India (06/11/2026) ** #</t>
  </si>
  <si>
    <t>NTPC Limited (06/11/2026) **</t>
  </si>
  <si>
    <t>7.23% Indian Railway Finance Corporation Limited (15/10/2026) **</t>
  </si>
  <si>
    <t>7.68% Indian Railway Finance Corporation Limited (24/11/2026) **</t>
  </si>
  <si>
    <t>5.74% Government of India (15/11/2026)</t>
  </si>
  <si>
    <t>Indian Bank (27/10/2026) ** #</t>
  </si>
  <si>
    <t>Bank of Baroda (11/12/2026) ** #</t>
  </si>
  <si>
    <t>Small Industries Dev Bank of India (16/12/2026) ** #</t>
  </si>
  <si>
    <t>Canara Bank (18/12/2026) ** #</t>
  </si>
  <si>
    <t>HDFC Bank Limited (21/12/2026) ** #</t>
  </si>
  <si>
    <t>Axis Bank Limited (17/12/2026) ** #</t>
  </si>
  <si>
    <t>Indian Bank (06/11/2026) ** #</t>
  </si>
  <si>
    <t>Punjab National Bank (15/12/2026) ** #</t>
  </si>
  <si>
    <t>REC Limited (22/10/2026) **</t>
  </si>
  <si>
    <t>ICICI Securities Limited (13/11/2026) **</t>
  </si>
  <si>
    <t>LIC Housing Finance Limited (26/11/2026) **</t>
  </si>
  <si>
    <t>Export Import Bank of India (04/12/2026) **</t>
  </si>
  <si>
    <t>Indian Oil Corporation Limited (08/12/2026) **</t>
  </si>
  <si>
    <t>Kotak Securities Limited (22/12/2026) **</t>
  </si>
  <si>
    <t>Aditya Birla Capital Limited (26/10/2026) **</t>
  </si>
  <si>
    <t>Aditya Birla Capital Limited (17/11/2026) **</t>
  </si>
  <si>
    <t>Motilal Oswal Financial Services Limited (20/11/2026) **</t>
  </si>
  <si>
    <t>Kotak Securities Limited (19/10/2026) **</t>
  </si>
  <si>
    <t>Kotak Mahindra Bank Limited (21/12/2026)  #</t>
  </si>
  <si>
    <t>Axis Bank Limited (07/12/2026)  #</t>
  </si>
  <si>
    <t xml:space="preserve">Reliance Industries Limited (10/12/2026) </t>
  </si>
  <si>
    <t>(4)  Details of IDCW declared per unit during the Monthly ended As on Sep 30, 2026 are as follows:</t>
  </si>
  <si>
    <t>(9) The Scheme did not declare any bonus during the Monthly ended Sep 30, 2026.</t>
  </si>
  <si>
    <t>YTC</t>
  </si>
  <si>
    <t>Sr No.</t>
  </si>
  <si>
    <t>Short Name</t>
  </si>
  <si>
    <t>Scheme Name</t>
  </si>
  <si>
    <t>Abakkus Large &amp; Mid cap Fund</t>
  </si>
  <si>
    <t>"The primary investment objective of the scheme is to generate capital appreciation &amp; provide long-term growth opportunities through equity and equity related instruments by investing in a diversified portfolio of large cap, mid cap and small cap securities and the secondary objective is to generate consistent returns by investing in debt and money market securities.
“There is no assurance that the investment objective of the Scheme will be achieved."</t>
  </si>
  <si>
    <t>In line with  6.17 of SEBI Master Circular dated March 20, 2026 the name of the scheme's benchmark index and its riskometer is also provided below for information </t>
  </si>
  <si>
    <t xml:space="preserve">Benchmark name -BSE 500 Index (TRI) </t>
  </si>
  <si>
    <t>Benchmark Risk-o-meter</t>
  </si>
  <si>
    <t>(13) Average maturity of the portfolio: 48 days</t>
  </si>
  <si>
    <t>Annualised Portfolio YTM : 6.13 %</t>
  </si>
  <si>
    <t>Macaulay Duration : 48 days</t>
  </si>
  <si>
    <t>Residual Maturity : 48 days</t>
  </si>
  <si>
    <t>"The Investment Objective of the scheme is to generate optimal returns consistent with moderate levels of risk
and high liquidity by investing in debt and money market
instruments.
“There is no assurance that the investment objective of the Scheme
will be achieved."</t>
  </si>
  <si>
    <t>Benchmark name -  CRISIL Liquid Debt A-I</t>
  </si>
  <si>
    <t>Benchmark Risko-meter</t>
  </si>
  <si>
    <t>In line with 6.18 of SEBI Master Circular dated March 20, 2026 Potential Risk Class (PRC) matrix for the scheme is provided below for information</t>
  </si>
  <si>
    <t>Benchmark name -Nifty LargeMidcap 250</t>
  </si>
  <si>
    <t>The Scheme seeks to generate long-term capital appreciation by
investing predominantly in equity and equity related securities of
Small Cap companies.
The Scheme does not guarantee/indicate any returns. There is no
assurance that the investment objective of the Scheme will be
achieved.</t>
  </si>
  <si>
    <t>Benchmark name - NIFTY SmallCap 250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</si>
</sst>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0\)"/>
    <numFmt numFmtId="166" formatCode="#,##0.00%"/>
    <numFmt numFmtId="167" formatCode="0.0000"/>
    <numFmt numFmtId="168" formatCode="0.000"/>
    <numFmt numFmtId="169" formatCode="0.000000000"/>
  </numFmts>
  <fonts count="9" x14ac:knownFonts="1">
    <font>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11"/>
      <color theme="1"/>
      <name val="Aptos Narrow"/>
      <family val="2"/>
      <scheme val="minor"/>
    </font>
    <font>
      <b/>
      <sz val="11"/>
      <color theme="1"/>
      <name val="Aptos Narrow"/>
      <family val="2"/>
      <scheme val="minor"/>
    </font>
    <font>
      <sz val="9"/>
      <color theme="1"/>
      <name val="Arial"/>
      <family val="2"/>
    </font>
    <font>
      <sz val="9"/>
      <name val="Arial"/>
      <family val="2"/>
    </font>
  </fonts>
  <fills count="35">
    <fill>
      <patternFill patternType="none"/>
    </fill>
    <fill>
      <patternFill patternType="gray125"/>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CCCCCC"/>
      </patternFill>
    </fill>
  </fills>
  <borders count="21">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0">
    <xf numFmtId="0" fontId="0" fillId="0" borderId="0"/>
    <xf numFmtId="0" fontId="5" fillId="33" borderId="2"/>
    <xf numFmtId="0" fontId="5" fillId="33" borderId="2"/>
    <xf numFmtId="0" fontId="5" fillId="33" borderId="2"/>
    <xf numFmtId="0" fontId="5" fillId="33" borderId="2"/>
    <xf numFmtId="0" fontId="5" fillId="33" borderId="2"/>
    <xf numFmtId="0" fontId="5" fillId="33" borderId="2"/>
    <xf numFmtId="0" fontId="5" fillId="33" borderId="2"/>
    <xf numFmtId="0" fontId="5" fillId="33" borderId="2"/>
    <xf numFmtId="0" fontId="5" fillId="33" borderId="2"/>
  </cellStyleXfs>
  <cellXfs count="81">
    <xf numFmtId="0" fontId="0" fillId="0" borderId="0" xfId="0"/>
    <xf numFmtId="0" fontId="1" fillId="2" borderId="1" xfId="0" applyFont="1" applyFill="1" applyBorder="1" applyAlignment="1">
      <alignment horizontal="left" vertical="top" wrapText="1"/>
    </xf>
    <xf numFmtId="0" fontId="0" fillId="4" borderId="0" xfId="0" applyFill="1" applyAlignment="1" applyProtection="1">
      <alignment wrapText="1"/>
      <protection locked="0"/>
    </xf>
    <xf numFmtId="0" fontId="4" fillId="6"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4" fillId="9" borderId="6" xfId="0" applyFont="1" applyFill="1" applyBorder="1" applyAlignment="1">
      <alignment horizontal="left" vertical="top" wrapText="1"/>
    </xf>
    <xf numFmtId="0" fontId="3" fillId="10" borderId="7" xfId="0" applyFont="1" applyFill="1" applyBorder="1" applyAlignment="1">
      <alignment horizontal="left" vertical="top" wrapText="1"/>
    </xf>
    <xf numFmtId="0" fontId="3" fillId="11" borderId="8" xfId="0" applyFont="1" applyFill="1" applyBorder="1" applyAlignment="1">
      <alignment horizontal="left" vertical="top" wrapText="1"/>
    </xf>
    <xf numFmtId="0" fontId="4" fillId="12" borderId="7" xfId="0" applyFont="1" applyFill="1" applyBorder="1" applyAlignment="1">
      <alignment horizontal="left" vertical="top" wrapText="1"/>
    </xf>
    <xf numFmtId="0" fontId="3" fillId="13" borderId="6" xfId="0" applyFont="1" applyFill="1" applyBorder="1" applyAlignment="1">
      <alignment horizontal="left" vertical="top" wrapText="1"/>
    </xf>
    <xf numFmtId="0" fontId="3" fillId="14" borderId="9" xfId="0" applyFont="1" applyFill="1" applyBorder="1" applyAlignment="1">
      <alignment horizontal="left" vertical="top" wrapText="1"/>
    </xf>
    <xf numFmtId="164" fontId="3" fillId="15" borderId="7" xfId="0" applyNumberFormat="1" applyFont="1" applyFill="1" applyBorder="1" applyAlignment="1">
      <alignment horizontal="right" vertical="top" wrapText="1"/>
    </xf>
    <xf numFmtId="165" fontId="3" fillId="16" borderId="7" xfId="0" applyNumberFormat="1" applyFont="1" applyFill="1" applyBorder="1" applyAlignment="1">
      <alignment horizontal="right" vertical="top" wrapText="1"/>
    </xf>
    <xf numFmtId="0" fontId="3" fillId="17" borderId="8" xfId="0" applyFont="1" applyFill="1" applyBorder="1" applyAlignment="1">
      <alignment horizontal="right" vertical="top" wrapText="1"/>
    </xf>
    <xf numFmtId="165" fontId="4" fillId="18" borderId="10" xfId="0" applyNumberFormat="1" applyFont="1" applyFill="1" applyBorder="1" applyAlignment="1">
      <alignment horizontal="right" vertical="top" wrapText="1"/>
    </xf>
    <xf numFmtId="0" fontId="4" fillId="19" borderId="11" xfId="0" applyFont="1" applyFill="1" applyBorder="1" applyAlignment="1">
      <alignment horizontal="left" vertical="top" wrapText="1"/>
    </xf>
    <xf numFmtId="0" fontId="3" fillId="20" borderId="12" xfId="0" applyFont="1" applyFill="1" applyBorder="1" applyAlignment="1">
      <alignment horizontal="left" vertical="top" wrapText="1"/>
    </xf>
    <xf numFmtId="0" fontId="4" fillId="21" borderId="13" xfId="0" applyFont="1" applyFill="1" applyBorder="1" applyAlignment="1">
      <alignment horizontal="right" vertical="top" wrapText="1"/>
    </xf>
    <xf numFmtId="0" fontId="4" fillId="22" borderId="12" xfId="0" applyFont="1" applyFill="1" applyBorder="1" applyAlignment="1">
      <alignment horizontal="right" vertical="top" wrapText="1"/>
    </xf>
    <xf numFmtId="0" fontId="4" fillId="23" borderId="14" xfId="0" applyFont="1" applyFill="1" applyBorder="1" applyAlignment="1">
      <alignment horizontal="right" vertical="top" wrapText="1"/>
    </xf>
    <xf numFmtId="0" fontId="4" fillId="24" borderId="15" xfId="0" applyFont="1" applyFill="1" applyBorder="1" applyAlignment="1">
      <alignment horizontal="left" vertical="top" wrapText="1"/>
    </xf>
    <xf numFmtId="0" fontId="3" fillId="25" borderId="16" xfId="0" applyFont="1" applyFill="1" applyBorder="1" applyAlignment="1">
      <alignment horizontal="left" vertical="top" wrapText="1"/>
    </xf>
    <xf numFmtId="0" fontId="3" fillId="26" borderId="10" xfId="0" applyFont="1" applyFill="1" applyBorder="1" applyAlignment="1">
      <alignment horizontal="left" vertical="top" wrapText="1"/>
    </xf>
    <xf numFmtId="166" fontId="3" fillId="27" borderId="8" xfId="0" applyNumberFormat="1" applyFont="1" applyFill="1" applyBorder="1" applyAlignment="1">
      <alignment horizontal="right" vertical="top" wrapText="1"/>
    </xf>
    <xf numFmtId="0" fontId="4" fillId="28" borderId="17" xfId="0" applyFont="1" applyFill="1" applyBorder="1" applyAlignment="1">
      <alignment horizontal="left" vertical="top" wrapText="1"/>
    </xf>
    <xf numFmtId="0" fontId="3" fillId="29" borderId="18" xfId="0" applyFont="1" applyFill="1" applyBorder="1" applyAlignment="1">
      <alignment horizontal="left" vertical="top" wrapText="1"/>
    </xf>
    <xf numFmtId="165" fontId="4" fillId="30" borderId="18" xfId="0" applyNumberFormat="1" applyFont="1" applyFill="1" applyBorder="1" applyAlignment="1">
      <alignment horizontal="right" vertical="top" wrapText="1"/>
    </xf>
    <xf numFmtId="4" fontId="4" fillId="31" borderId="18" xfId="0" applyNumberFormat="1" applyFont="1" applyFill="1" applyBorder="1" applyAlignment="1">
      <alignment horizontal="right" vertical="top" wrapText="1"/>
    </xf>
    <xf numFmtId="0" fontId="4" fillId="32" borderId="19" xfId="0" applyFont="1" applyFill="1" applyBorder="1" applyAlignment="1">
      <alignment horizontal="right" vertical="top" wrapText="1"/>
    </xf>
    <xf numFmtId="0" fontId="4" fillId="33" borderId="2" xfId="0" applyFont="1" applyFill="1" applyBorder="1" applyAlignment="1">
      <alignment horizontal="left" vertical="top" wrapText="1"/>
    </xf>
    <xf numFmtId="0" fontId="5" fillId="33" borderId="2" xfId="1" applyAlignment="1" applyProtection="1">
      <alignment wrapText="1"/>
      <protection locked="0"/>
    </xf>
    <xf numFmtId="0" fontId="4" fillId="33" borderId="2" xfId="1" applyFont="1" applyAlignment="1">
      <alignment horizontal="left" vertical="top" wrapText="1"/>
    </xf>
    <xf numFmtId="0" fontId="4" fillId="33" borderId="2" xfId="1" applyFont="1" applyAlignment="1">
      <alignment vertical="top"/>
    </xf>
    <xf numFmtId="0" fontId="3" fillId="33" borderId="2" xfId="1" applyFont="1" applyAlignment="1">
      <alignment vertical="top"/>
    </xf>
    <xf numFmtId="0" fontId="3" fillId="33" borderId="2" xfId="1" applyFont="1" applyAlignment="1">
      <alignment horizontal="left" vertical="top" wrapText="1"/>
    </xf>
    <xf numFmtId="0" fontId="3" fillId="33" borderId="2" xfId="1" applyFont="1" applyAlignment="1">
      <alignment horizontal="left" vertical="top"/>
    </xf>
    <xf numFmtId="0" fontId="4" fillId="33" borderId="2" xfId="1" applyFont="1" applyAlignment="1">
      <alignment horizontal="center" vertical="top" wrapText="1"/>
    </xf>
    <xf numFmtId="167" fontId="3" fillId="33" borderId="2" xfId="1" applyNumberFormat="1" applyFont="1" applyAlignment="1">
      <alignment horizontal="right" vertical="top" wrapText="1"/>
    </xf>
    <xf numFmtId="0" fontId="5" fillId="33" borderId="2" xfId="1"/>
    <xf numFmtId="0" fontId="6" fillId="33" borderId="2" xfId="1" applyFont="1" applyAlignment="1" applyProtection="1">
      <alignment horizontal="center" wrapText="1"/>
      <protection locked="0"/>
    </xf>
    <xf numFmtId="0" fontId="7" fillId="33" borderId="2" xfId="1" applyFont="1"/>
    <xf numFmtId="0" fontId="6" fillId="33" borderId="20" xfId="1" applyFont="1" applyBorder="1" applyAlignment="1">
      <alignment vertical="center" wrapText="1"/>
    </xf>
    <xf numFmtId="0" fontId="5" fillId="33" borderId="20" xfId="1" applyBorder="1" applyAlignment="1">
      <alignment vertical="center" wrapText="1"/>
    </xf>
    <xf numFmtId="0" fontId="0" fillId="33" borderId="0" xfId="0" applyFill="1" applyAlignment="1" applyProtection="1">
      <alignment wrapText="1"/>
      <protection locked="0"/>
    </xf>
    <xf numFmtId="0" fontId="4" fillId="33" borderId="2" xfId="0" applyFont="1" applyFill="1" applyBorder="1" applyAlignment="1">
      <alignment vertical="top"/>
    </xf>
    <xf numFmtId="0" fontId="3" fillId="33" borderId="2" xfId="0" applyFont="1" applyFill="1" applyBorder="1" applyAlignment="1">
      <alignment vertical="top"/>
    </xf>
    <xf numFmtId="0" fontId="3" fillId="33" borderId="2" xfId="0" applyFont="1" applyFill="1" applyBorder="1" applyAlignment="1">
      <alignment horizontal="left" vertical="top" wrapText="1"/>
    </xf>
    <xf numFmtId="0" fontId="4" fillId="33" borderId="2" xfId="0" applyFont="1" applyFill="1" applyBorder="1" applyAlignment="1">
      <alignment vertical="top" wrapText="1"/>
    </xf>
    <xf numFmtId="0" fontId="3" fillId="33" borderId="2" xfId="0" applyFont="1" applyFill="1" applyBorder="1" applyAlignment="1">
      <alignment horizontal="left" vertical="top"/>
    </xf>
    <xf numFmtId="0" fontId="3" fillId="33" borderId="2" xfId="0" applyFont="1" applyFill="1" applyBorder="1" applyAlignment="1">
      <alignment vertical="top" wrapText="1"/>
    </xf>
    <xf numFmtId="0" fontId="3" fillId="0" borderId="0" xfId="0" applyFont="1" applyAlignment="1">
      <alignment horizontal="left" vertical="top"/>
    </xf>
    <xf numFmtId="0" fontId="4" fillId="33" borderId="2" xfId="0" applyFont="1" applyFill="1" applyBorder="1" applyAlignment="1">
      <alignment horizontal="center" vertical="top" wrapText="1"/>
    </xf>
    <xf numFmtId="168" fontId="3" fillId="33" borderId="2" xfId="0" applyNumberFormat="1" applyFont="1" applyFill="1" applyBorder="1" applyAlignment="1">
      <alignment horizontal="right" vertical="top" wrapText="1"/>
    </xf>
    <xf numFmtId="0" fontId="3" fillId="0" borderId="0" xfId="0" applyFont="1" applyAlignment="1">
      <alignment horizontal="left" vertical="top" wrapText="1"/>
    </xf>
    <xf numFmtId="0" fontId="7" fillId="33" borderId="2" xfId="2" applyFont="1" applyAlignment="1">
      <alignment vertical="top"/>
    </xf>
    <xf numFmtId="0" fontId="8" fillId="33" borderId="0" xfId="0" applyFont="1" applyFill="1" applyAlignment="1">
      <alignment horizontal="left" vertical="top" wrapText="1"/>
    </xf>
    <xf numFmtId="0" fontId="7" fillId="0" borderId="0" xfId="0" applyFont="1"/>
    <xf numFmtId="0" fontId="3" fillId="33" borderId="2" xfId="0" applyFont="1" applyFill="1" applyBorder="1" applyAlignment="1">
      <alignment horizontal="right" vertical="top" wrapText="1"/>
    </xf>
    <xf numFmtId="169" fontId="3" fillId="33" borderId="2" xfId="1" applyNumberFormat="1" applyFont="1" applyAlignment="1">
      <alignment horizontal="right" vertical="top" wrapText="1"/>
    </xf>
    <xf numFmtId="167" fontId="3" fillId="33" borderId="2" xfId="0" applyNumberFormat="1" applyFont="1" applyFill="1" applyBorder="1" applyAlignment="1">
      <alignment horizontal="right" vertical="top" wrapText="1"/>
    </xf>
    <xf numFmtId="0" fontId="3" fillId="34" borderId="12" xfId="1" applyFont="1" applyFill="1" applyBorder="1" applyAlignment="1">
      <alignment horizontal="left" vertical="top" wrapText="1"/>
    </xf>
    <xf numFmtId="0" fontId="3" fillId="33" borderId="12" xfId="1" applyFont="1" applyBorder="1" applyAlignment="1">
      <alignment horizontal="left" vertical="top" wrapText="1"/>
    </xf>
    <xf numFmtId="0" fontId="7" fillId="33" borderId="2" xfId="4" applyFont="1"/>
    <xf numFmtId="0" fontId="3" fillId="33" borderId="2" xfId="5" applyFont="1" applyAlignment="1">
      <alignment vertical="top" wrapText="1"/>
    </xf>
    <xf numFmtId="0" fontId="3" fillId="33" borderId="2" xfId="6" applyFont="1"/>
    <xf numFmtId="0" fontId="7" fillId="33" borderId="2" xfId="7" applyFont="1"/>
    <xf numFmtId="0" fontId="5" fillId="33" borderId="2" xfId="8" applyAlignment="1">
      <alignment horizontal="left" vertical="top" wrapText="1"/>
    </xf>
    <xf numFmtId="0" fontId="5" fillId="33" borderId="2" xfId="4"/>
    <xf numFmtId="0" fontId="5" fillId="33" borderId="2" xfId="9"/>
    <xf numFmtId="0" fontId="2" fillId="3"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3" fillId="5" borderId="2" xfId="0" applyFont="1" applyFill="1" applyBorder="1" applyAlignment="1">
      <alignment horizontal="left" vertical="top" wrapText="1"/>
    </xf>
    <xf numFmtId="0" fontId="4" fillId="33" borderId="2" xfId="0" applyFont="1" applyFill="1" applyBorder="1" applyAlignment="1">
      <alignment horizontal="left" vertical="top" wrapText="1"/>
    </xf>
    <xf numFmtId="0" fontId="7" fillId="33" borderId="2" xfId="3" applyFont="1" applyAlignment="1">
      <alignment horizontal="left" vertical="top" wrapText="1"/>
    </xf>
    <xf numFmtId="0" fontId="3" fillId="33" borderId="2" xfId="0" applyFont="1" applyFill="1" applyBorder="1" applyAlignment="1">
      <alignment horizontal="left" vertical="top" wrapText="1"/>
    </xf>
    <xf numFmtId="0" fontId="3" fillId="33" borderId="0" xfId="0" applyFont="1" applyFill="1" applyAlignment="1">
      <alignment horizontal="left" vertical="top" wrapText="1"/>
    </xf>
    <xf numFmtId="0" fontId="7" fillId="33" borderId="0" xfId="0" applyFont="1" applyFill="1" applyAlignment="1">
      <alignment horizontal="left" vertical="top" wrapText="1"/>
    </xf>
    <xf numFmtId="0" fontId="3" fillId="0" borderId="0" xfId="0" applyFont="1" applyAlignment="1">
      <alignment horizontal="left" vertical="top" wrapText="1"/>
    </xf>
    <xf numFmtId="0" fontId="4" fillId="33" borderId="2" xfId="1" applyFont="1" applyAlignment="1">
      <alignment horizontal="left" vertical="top" wrapText="1"/>
    </xf>
    <xf numFmtId="0" fontId="5" fillId="33" borderId="2" xfId="8" applyAlignment="1">
      <alignment horizontal="left" vertical="top" wrapText="1"/>
    </xf>
  </cellXfs>
  <cellStyles count="10">
    <cellStyle name="Normal" xfId="0" builtinId="0"/>
    <cellStyle name="Normal 10" xfId="5" xr:uid="{967C86D4-34AD-4991-8E49-54FB9900493F}"/>
    <cellStyle name="Normal 12" xfId="6" xr:uid="{49411881-7B9C-45A6-BD1C-9A4D10F1C5B6}"/>
    <cellStyle name="Normal 2" xfId="1" xr:uid="{6685060E-AECF-414D-AB06-2D1238903D53}"/>
    <cellStyle name="Normal 20" xfId="4" xr:uid="{5BD592E4-F591-4C0B-B4BD-13E4F592D39B}"/>
    <cellStyle name="Normal 24" xfId="3" xr:uid="{19A17671-D79D-43F8-93EE-3E6EC7562CD6}"/>
    <cellStyle name="Normal 26" xfId="7" xr:uid="{26737046-5EC5-4159-8DB0-BC4DD5DE4B0C}"/>
    <cellStyle name="Normal 3" xfId="2" xr:uid="{D2F86E95-D056-4ADC-97CF-0A0A765132E4}"/>
    <cellStyle name="Normal 30" xfId="8" xr:uid="{652E6D04-6EA7-4BD0-B738-2C05F46B75EA}"/>
    <cellStyle name="Normal 31" xfId="9" xr:uid="{D7C8CDF4-D225-4066-A39C-6B457529095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107</xdr:row>
      <xdr:rowOff>63500</xdr:rowOff>
    </xdr:from>
    <xdr:to>
      <xdr:col>1</xdr:col>
      <xdr:colOff>3028950</xdr:colOff>
      <xdr:row>116</xdr:row>
      <xdr:rowOff>177800</xdr:rowOff>
    </xdr:to>
    <xdr:pic>
      <xdr:nvPicPr>
        <xdr:cNvPr id="2" name="Picture 1">
          <a:extLst>
            <a:ext uri="{FF2B5EF4-FFF2-40B4-BE49-F238E27FC236}">
              <a16:creationId xmlns:a16="http://schemas.microsoft.com/office/drawing/2014/main" id="{EF7B4B8F-EFFC-479B-A2B5-EB89D93AD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950" y="18662650"/>
          <a:ext cx="30289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121</xdr:row>
      <xdr:rowOff>0</xdr:rowOff>
    </xdr:from>
    <xdr:to>
      <xdr:col>1</xdr:col>
      <xdr:colOff>2876550</xdr:colOff>
      <xdr:row>129</xdr:row>
      <xdr:rowOff>107950</xdr:rowOff>
    </xdr:to>
    <xdr:pic>
      <xdr:nvPicPr>
        <xdr:cNvPr id="3" name="Picture 2">
          <a:extLst>
            <a:ext uri="{FF2B5EF4-FFF2-40B4-BE49-F238E27FC236}">
              <a16:creationId xmlns:a16="http://schemas.microsoft.com/office/drawing/2014/main" id="{3FD9A88D-F723-4978-9DB6-E6D6F736FE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950" y="21177250"/>
          <a:ext cx="28765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1</xdr:col>
      <xdr:colOff>3018034</xdr:colOff>
      <xdr:row>133</xdr:row>
      <xdr:rowOff>101600</xdr:rowOff>
    </xdr:to>
    <xdr:pic>
      <xdr:nvPicPr>
        <xdr:cNvPr id="2" name="Picture 1">
          <a:extLst>
            <a:ext uri="{FF2B5EF4-FFF2-40B4-BE49-F238E27FC236}">
              <a16:creationId xmlns:a16="http://schemas.microsoft.com/office/drawing/2014/main" id="{7DAFDCA0-B992-4B42-900A-A38DBDF747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5449" y="22538933"/>
          <a:ext cx="3018034" cy="19566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138</xdr:row>
      <xdr:rowOff>12700</xdr:rowOff>
    </xdr:from>
    <xdr:to>
      <xdr:col>1</xdr:col>
      <xdr:colOff>2975225</xdr:colOff>
      <xdr:row>146</xdr:row>
      <xdr:rowOff>76200</xdr:rowOff>
    </xdr:to>
    <xdr:pic>
      <xdr:nvPicPr>
        <xdr:cNvPr id="3" name="Picture 2">
          <a:extLst>
            <a:ext uri="{FF2B5EF4-FFF2-40B4-BE49-F238E27FC236}">
              <a16:creationId xmlns:a16="http://schemas.microsoft.com/office/drawing/2014/main" id="{93834218-6968-4786-8CAE-28D06B431B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25334217"/>
          <a:ext cx="3001124" cy="1547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149</xdr:row>
      <xdr:rowOff>0</xdr:rowOff>
    </xdr:from>
    <xdr:to>
      <xdr:col>2</xdr:col>
      <xdr:colOff>165100</xdr:colOff>
      <xdr:row>159</xdr:row>
      <xdr:rowOff>139700</xdr:rowOff>
    </xdr:to>
    <xdr:pic>
      <xdr:nvPicPr>
        <xdr:cNvPr id="4" name="Picture 3">
          <a:extLst>
            <a:ext uri="{FF2B5EF4-FFF2-40B4-BE49-F238E27FC236}">
              <a16:creationId xmlns:a16="http://schemas.microsoft.com/office/drawing/2014/main" id="{9A35D2F0-DA15-4D69-89BA-E054DA4C01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4950" y="27324050"/>
          <a:ext cx="3625850"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104</xdr:row>
      <xdr:rowOff>63500</xdr:rowOff>
    </xdr:from>
    <xdr:to>
      <xdr:col>2</xdr:col>
      <xdr:colOff>120650</xdr:colOff>
      <xdr:row>113</xdr:row>
      <xdr:rowOff>177800</xdr:rowOff>
    </xdr:to>
    <xdr:pic>
      <xdr:nvPicPr>
        <xdr:cNvPr id="2" name="Picture 1">
          <a:extLst>
            <a:ext uri="{FF2B5EF4-FFF2-40B4-BE49-F238E27FC236}">
              <a16:creationId xmlns:a16="http://schemas.microsoft.com/office/drawing/2014/main" id="{3AC93821-928E-4AAC-8500-5D9FEF31BF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950" y="18040350"/>
          <a:ext cx="30289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118</xdr:row>
      <xdr:rowOff>0</xdr:rowOff>
    </xdr:from>
    <xdr:to>
      <xdr:col>1</xdr:col>
      <xdr:colOff>2876550</xdr:colOff>
      <xdr:row>126</xdr:row>
      <xdr:rowOff>107950</xdr:rowOff>
    </xdr:to>
    <xdr:pic>
      <xdr:nvPicPr>
        <xdr:cNvPr id="3" name="Picture 2">
          <a:extLst>
            <a:ext uri="{FF2B5EF4-FFF2-40B4-BE49-F238E27FC236}">
              <a16:creationId xmlns:a16="http://schemas.microsoft.com/office/drawing/2014/main" id="{5C87FF81-E7DF-47CE-82BD-723276348A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950" y="20554950"/>
          <a:ext cx="28765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1</xdr:col>
      <xdr:colOff>2901950</xdr:colOff>
      <xdr:row>132</xdr:row>
      <xdr:rowOff>19050</xdr:rowOff>
    </xdr:to>
    <xdr:pic>
      <xdr:nvPicPr>
        <xdr:cNvPr id="2" name="Picture 1">
          <a:extLst>
            <a:ext uri="{FF2B5EF4-FFF2-40B4-BE49-F238E27FC236}">
              <a16:creationId xmlns:a16="http://schemas.microsoft.com/office/drawing/2014/main" id="{FEE81A06-AD7F-482B-AAE8-F342DEE19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950" y="21113750"/>
          <a:ext cx="290195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136</xdr:row>
      <xdr:rowOff>0</xdr:rowOff>
    </xdr:from>
    <xdr:to>
      <xdr:col>1</xdr:col>
      <xdr:colOff>2851150</xdr:colOff>
      <xdr:row>144</xdr:row>
      <xdr:rowOff>107950</xdr:rowOff>
    </xdr:to>
    <xdr:pic>
      <xdr:nvPicPr>
        <xdr:cNvPr id="3" name="Picture 2">
          <a:extLst>
            <a:ext uri="{FF2B5EF4-FFF2-40B4-BE49-F238E27FC236}">
              <a16:creationId xmlns:a16="http://schemas.microsoft.com/office/drawing/2014/main" id="{4F6CE658-0259-4152-96B8-6B82FF2974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950" y="23507700"/>
          <a:ext cx="28511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11F61-8A56-43A2-BC37-22790EBDFB31}">
  <dimension ref="A1:C5"/>
  <sheetViews>
    <sheetView tabSelected="1" workbookViewId="0"/>
  </sheetViews>
  <sheetFormatPr defaultColWidth="47.7265625" defaultRowHeight="14.5" x14ac:dyDescent="0.35"/>
  <cols>
    <col min="1" max="1" width="5.453125" style="39" bestFit="1" customWidth="1"/>
    <col min="2" max="2" width="9.453125" style="39" bestFit="1" customWidth="1"/>
    <col min="3" max="3" width="29.453125" style="39" customWidth="1"/>
    <col min="4" max="256" width="47.7265625" style="39"/>
    <col min="257" max="257" width="5.453125" style="39" bestFit="1" customWidth="1"/>
    <col min="258" max="258" width="9.453125" style="39" bestFit="1" customWidth="1"/>
    <col min="259" max="259" width="19.26953125" style="39" bestFit="1" customWidth="1"/>
    <col min="260" max="512" width="47.7265625" style="39"/>
    <col min="513" max="513" width="5.453125" style="39" bestFit="1" customWidth="1"/>
    <col min="514" max="514" width="9.453125" style="39" bestFit="1" customWidth="1"/>
    <col min="515" max="515" width="19.26953125" style="39" bestFit="1" customWidth="1"/>
    <col min="516" max="768" width="47.7265625" style="39"/>
    <col min="769" max="769" width="5.453125" style="39" bestFit="1" customWidth="1"/>
    <col min="770" max="770" width="9.453125" style="39" bestFit="1" customWidth="1"/>
    <col min="771" max="771" width="19.26953125" style="39" bestFit="1" customWidth="1"/>
    <col min="772" max="1024" width="47.7265625" style="39"/>
    <col min="1025" max="1025" width="5.453125" style="39" bestFit="1" customWidth="1"/>
    <col min="1026" max="1026" width="9.453125" style="39" bestFit="1" customWidth="1"/>
    <col min="1027" max="1027" width="19.26953125" style="39" bestFit="1" customWidth="1"/>
    <col min="1028" max="1280" width="47.7265625" style="39"/>
    <col min="1281" max="1281" width="5.453125" style="39" bestFit="1" customWidth="1"/>
    <col min="1282" max="1282" width="9.453125" style="39" bestFit="1" customWidth="1"/>
    <col min="1283" max="1283" width="19.26953125" style="39" bestFit="1" customWidth="1"/>
    <col min="1284" max="1536" width="47.7265625" style="39"/>
    <col min="1537" max="1537" width="5.453125" style="39" bestFit="1" customWidth="1"/>
    <col min="1538" max="1538" width="9.453125" style="39" bestFit="1" customWidth="1"/>
    <col min="1539" max="1539" width="19.26953125" style="39" bestFit="1" customWidth="1"/>
    <col min="1540" max="1792" width="47.7265625" style="39"/>
    <col min="1793" max="1793" width="5.453125" style="39" bestFit="1" customWidth="1"/>
    <col min="1794" max="1794" width="9.453125" style="39" bestFit="1" customWidth="1"/>
    <col min="1795" max="1795" width="19.26953125" style="39" bestFit="1" customWidth="1"/>
    <col min="1796" max="2048" width="47.7265625" style="39"/>
    <col min="2049" max="2049" width="5.453125" style="39" bestFit="1" customWidth="1"/>
    <col min="2050" max="2050" width="9.453125" style="39" bestFit="1" customWidth="1"/>
    <col min="2051" max="2051" width="19.26953125" style="39" bestFit="1" customWidth="1"/>
    <col min="2052" max="2304" width="47.7265625" style="39"/>
    <col min="2305" max="2305" width="5.453125" style="39" bestFit="1" customWidth="1"/>
    <col min="2306" max="2306" width="9.453125" style="39" bestFit="1" customWidth="1"/>
    <col min="2307" max="2307" width="19.26953125" style="39" bestFit="1" customWidth="1"/>
    <col min="2308" max="2560" width="47.7265625" style="39"/>
    <col min="2561" max="2561" width="5.453125" style="39" bestFit="1" customWidth="1"/>
    <col min="2562" max="2562" width="9.453125" style="39" bestFit="1" customWidth="1"/>
    <col min="2563" max="2563" width="19.26953125" style="39" bestFit="1" customWidth="1"/>
    <col min="2564" max="2816" width="47.7265625" style="39"/>
    <col min="2817" max="2817" width="5.453125" style="39" bestFit="1" customWidth="1"/>
    <col min="2818" max="2818" width="9.453125" style="39" bestFit="1" customWidth="1"/>
    <col min="2819" max="2819" width="19.26953125" style="39" bestFit="1" customWidth="1"/>
    <col min="2820" max="3072" width="47.7265625" style="39"/>
    <col min="3073" max="3073" width="5.453125" style="39" bestFit="1" customWidth="1"/>
    <col min="3074" max="3074" width="9.453125" style="39" bestFit="1" customWidth="1"/>
    <col min="3075" max="3075" width="19.26953125" style="39" bestFit="1" customWidth="1"/>
    <col min="3076" max="3328" width="47.7265625" style="39"/>
    <col min="3329" max="3329" width="5.453125" style="39" bestFit="1" customWidth="1"/>
    <col min="3330" max="3330" width="9.453125" style="39" bestFit="1" customWidth="1"/>
    <col min="3331" max="3331" width="19.26953125" style="39" bestFit="1" customWidth="1"/>
    <col min="3332" max="3584" width="47.7265625" style="39"/>
    <col min="3585" max="3585" width="5.453125" style="39" bestFit="1" customWidth="1"/>
    <col min="3586" max="3586" width="9.453125" style="39" bestFit="1" customWidth="1"/>
    <col min="3587" max="3587" width="19.26953125" style="39" bestFit="1" customWidth="1"/>
    <col min="3588" max="3840" width="47.7265625" style="39"/>
    <col min="3841" max="3841" width="5.453125" style="39" bestFit="1" customWidth="1"/>
    <col min="3842" max="3842" width="9.453125" style="39" bestFit="1" customWidth="1"/>
    <col min="3843" max="3843" width="19.26953125" style="39" bestFit="1" customWidth="1"/>
    <col min="3844" max="4096" width="47.7265625" style="39"/>
    <col min="4097" max="4097" width="5.453125" style="39" bestFit="1" customWidth="1"/>
    <col min="4098" max="4098" width="9.453125" style="39" bestFit="1" customWidth="1"/>
    <col min="4099" max="4099" width="19.26953125" style="39" bestFit="1" customWidth="1"/>
    <col min="4100" max="4352" width="47.7265625" style="39"/>
    <col min="4353" max="4353" width="5.453125" style="39" bestFit="1" customWidth="1"/>
    <col min="4354" max="4354" width="9.453125" style="39" bestFit="1" customWidth="1"/>
    <col min="4355" max="4355" width="19.26953125" style="39" bestFit="1" customWidth="1"/>
    <col min="4356" max="4608" width="47.7265625" style="39"/>
    <col min="4609" max="4609" width="5.453125" style="39" bestFit="1" customWidth="1"/>
    <col min="4610" max="4610" width="9.453125" style="39" bestFit="1" customWidth="1"/>
    <col min="4611" max="4611" width="19.26953125" style="39" bestFit="1" customWidth="1"/>
    <col min="4612" max="4864" width="47.7265625" style="39"/>
    <col min="4865" max="4865" width="5.453125" style="39" bestFit="1" customWidth="1"/>
    <col min="4866" max="4866" width="9.453125" style="39" bestFit="1" customWidth="1"/>
    <col min="4867" max="4867" width="19.26953125" style="39" bestFit="1" customWidth="1"/>
    <col min="4868" max="5120" width="47.7265625" style="39"/>
    <col min="5121" max="5121" width="5.453125" style="39" bestFit="1" customWidth="1"/>
    <col min="5122" max="5122" width="9.453125" style="39" bestFit="1" customWidth="1"/>
    <col min="5123" max="5123" width="19.26953125" style="39" bestFit="1" customWidth="1"/>
    <col min="5124" max="5376" width="47.7265625" style="39"/>
    <col min="5377" max="5377" width="5.453125" style="39" bestFit="1" customWidth="1"/>
    <col min="5378" max="5378" width="9.453125" style="39" bestFit="1" customWidth="1"/>
    <col min="5379" max="5379" width="19.26953125" style="39" bestFit="1" customWidth="1"/>
    <col min="5380" max="5632" width="47.7265625" style="39"/>
    <col min="5633" max="5633" width="5.453125" style="39" bestFit="1" customWidth="1"/>
    <col min="5634" max="5634" width="9.453125" style="39" bestFit="1" customWidth="1"/>
    <col min="5635" max="5635" width="19.26953125" style="39" bestFit="1" customWidth="1"/>
    <col min="5636" max="5888" width="47.7265625" style="39"/>
    <col min="5889" max="5889" width="5.453125" style="39" bestFit="1" customWidth="1"/>
    <col min="5890" max="5890" width="9.453125" style="39" bestFit="1" customWidth="1"/>
    <col min="5891" max="5891" width="19.26953125" style="39" bestFit="1" customWidth="1"/>
    <col min="5892" max="6144" width="47.7265625" style="39"/>
    <col min="6145" max="6145" width="5.453125" style="39" bestFit="1" customWidth="1"/>
    <col min="6146" max="6146" width="9.453125" style="39" bestFit="1" customWidth="1"/>
    <col min="6147" max="6147" width="19.26953125" style="39" bestFit="1" customWidth="1"/>
    <col min="6148" max="6400" width="47.7265625" style="39"/>
    <col min="6401" max="6401" width="5.453125" style="39" bestFit="1" customWidth="1"/>
    <col min="6402" max="6402" width="9.453125" style="39" bestFit="1" customWidth="1"/>
    <col min="6403" max="6403" width="19.26953125" style="39" bestFit="1" customWidth="1"/>
    <col min="6404" max="6656" width="47.7265625" style="39"/>
    <col min="6657" max="6657" width="5.453125" style="39" bestFit="1" customWidth="1"/>
    <col min="6658" max="6658" width="9.453125" style="39" bestFit="1" customWidth="1"/>
    <col min="6659" max="6659" width="19.26953125" style="39" bestFit="1" customWidth="1"/>
    <col min="6660" max="6912" width="47.7265625" style="39"/>
    <col min="6913" max="6913" width="5.453125" style="39" bestFit="1" customWidth="1"/>
    <col min="6914" max="6914" width="9.453125" style="39" bestFit="1" customWidth="1"/>
    <col min="6915" max="6915" width="19.26953125" style="39" bestFit="1" customWidth="1"/>
    <col min="6916" max="7168" width="47.7265625" style="39"/>
    <col min="7169" max="7169" width="5.453125" style="39" bestFit="1" customWidth="1"/>
    <col min="7170" max="7170" width="9.453125" style="39" bestFit="1" customWidth="1"/>
    <col min="7171" max="7171" width="19.26953125" style="39" bestFit="1" customWidth="1"/>
    <col min="7172" max="7424" width="47.7265625" style="39"/>
    <col min="7425" max="7425" width="5.453125" style="39" bestFit="1" customWidth="1"/>
    <col min="7426" max="7426" width="9.453125" style="39" bestFit="1" customWidth="1"/>
    <col min="7427" max="7427" width="19.26953125" style="39" bestFit="1" customWidth="1"/>
    <col min="7428" max="7680" width="47.7265625" style="39"/>
    <col min="7681" max="7681" width="5.453125" style="39" bestFit="1" customWidth="1"/>
    <col min="7682" max="7682" width="9.453125" style="39" bestFit="1" customWidth="1"/>
    <col min="7683" max="7683" width="19.26953125" style="39" bestFit="1" customWidth="1"/>
    <col min="7684" max="7936" width="47.7265625" style="39"/>
    <col min="7937" max="7937" width="5.453125" style="39" bestFit="1" customWidth="1"/>
    <col min="7938" max="7938" width="9.453125" style="39" bestFit="1" customWidth="1"/>
    <col min="7939" max="7939" width="19.26953125" style="39" bestFit="1" customWidth="1"/>
    <col min="7940" max="8192" width="47.7265625" style="39"/>
    <col min="8193" max="8193" width="5.453125" style="39" bestFit="1" customWidth="1"/>
    <col min="8194" max="8194" width="9.453125" style="39" bestFit="1" customWidth="1"/>
    <col min="8195" max="8195" width="19.26953125" style="39" bestFit="1" customWidth="1"/>
    <col min="8196" max="8448" width="47.7265625" style="39"/>
    <col min="8449" max="8449" width="5.453125" style="39" bestFit="1" customWidth="1"/>
    <col min="8450" max="8450" width="9.453125" style="39" bestFit="1" customWidth="1"/>
    <col min="8451" max="8451" width="19.26953125" style="39" bestFit="1" customWidth="1"/>
    <col min="8452" max="8704" width="47.7265625" style="39"/>
    <col min="8705" max="8705" width="5.453125" style="39" bestFit="1" customWidth="1"/>
    <col min="8706" max="8706" width="9.453125" style="39" bestFit="1" customWidth="1"/>
    <col min="8707" max="8707" width="19.26953125" style="39" bestFit="1" customWidth="1"/>
    <col min="8708" max="8960" width="47.7265625" style="39"/>
    <col min="8961" max="8961" width="5.453125" style="39" bestFit="1" customWidth="1"/>
    <col min="8962" max="8962" width="9.453125" style="39" bestFit="1" customWidth="1"/>
    <col min="8963" max="8963" width="19.26953125" style="39" bestFit="1" customWidth="1"/>
    <col min="8964" max="9216" width="47.7265625" style="39"/>
    <col min="9217" max="9217" width="5.453125" style="39" bestFit="1" customWidth="1"/>
    <col min="9218" max="9218" width="9.453125" style="39" bestFit="1" customWidth="1"/>
    <col min="9219" max="9219" width="19.26953125" style="39" bestFit="1" customWidth="1"/>
    <col min="9220" max="9472" width="47.7265625" style="39"/>
    <col min="9473" max="9473" width="5.453125" style="39" bestFit="1" customWidth="1"/>
    <col min="9474" max="9474" width="9.453125" style="39" bestFit="1" customWidth="1"/>
    <col min="9475" max="9475" width="19.26953125" style="39" bestFit="1" customWidth="1"/>
    <col min="9476" max="9728" width="47.7265625" style="39"/>
    <col min="9729" max="9729" width="5.453125" style="39" bestFit="1" customWidth="1"/>
    <col min="9730" max="9730" width="9.453125" style="39" bestFit="1" customWidth="1"/>
    <col min="9731" max="9731" width="19.26953125" style="39" bestFit="1" customWidth="1"/>
    <col min="9732" max="9984" width="47.7265625" style="39"/>
    <col min="9985" max="9985" width="5.453125" style="39" bestFit="1" customWidth="1"/>
    <col min="9986" max="9986" width="9.453125" style="39" bestFit="1" customWidth="1"/>
    <col min="9987" max="9987" width="19.26953125" style="39" bestFit="1" customWidth="1"/>
    <col min="9988" max="10240" width="47.7265625" style="39"/>
    <col min="10241" max="10241" width="5.453125" style="39" bestFit="1" customWidth="1"/>
    <col min="10242" max="10242" width="9.453125" style="39" bestFit="1" customWidth="1"/>
    <col min="10243" max="10243" width="19.26953125" style="39" bestFit="1" customWidth="1"/>
    <col min="10244" max="10496" width="47.7265625" style="39"/>
    <col min="10497" max="10497" width="5.453125" style="39" bestFit="1" customWidth="1"/>
    <col min="10498" max="10498" width="9.453125" style="39" bestFit="1" customWidth="1"/>
    <col min="10499" max="10499" width="19.26953125" style="39" bestFit="1" customWidth="1"/>
    <col min="10500" max="10752" width="47.7265625" style="39"/>
    <col min="10753" max="10753" width="5.453125" style="39" bestFit="1" customWidth="1"/>
    <col min="10754" max="10754" width="9.453125" style="39" bestFit="1" customWidth="1"/>
    <col min="10755" max="10755" width="19.26953125" style="39" bestFit="1" customWidth="1"/>
    <col min="10756" max="11008" width="47.7265625" style="39"/>
    <col min="11009" max="11009" width="5.453125" style="39" bestFit="1" customWidth="1"/>
    <col min="11010" max="11010" width="9.453125" style="39" bestFit="1" customWidth="1"/>
    <col min="11011" max="11011" width="19.26953125" style="39" bestFit="1" customWidth="1"/>
    <col min="11012" max="11264" width="47.7265625" style="39"/>
    <col min="11265" max="11265" width="5.453125" style="39" bestFit="1" customWidth="1"/>
    <col min="11266" max="11266" width="9.453125" style="39" bestFit="1" customWidth="1"/>
    <col min="11267" max="11267" width="19.26953125" style="39" bestFit="1" customWidth="1"/>
    <col min="11268" max="11520" width="47.7265625" style="39"/>
    <col min="11521" max="11521" width="5.453125" style="39" bestFit="1" customWidth="1"/>
    <col min="11522" max="11522" width="9.453125" style="39" bestFit="1" customWidth="1"/>
    <col min="11523" max="11523" width="19.26953125" style="39" bestFit="1" customWidth="1"/>
    <col min="11524" max="11776" width="47.7265625" style="39"/>
    <col min="11777" max="11777" width="5.453125" style="39" bestFit="1" customWidth="1"/>
    <col min="11778" max="11778" width="9.453125" style="39" bestFit="1" customWidth="1"/>
    <col min="11779" max="11779" width="19.26953125" style="39" bestFit="1" customWidth="1"/>
    <col min="11780" max="12032" width="47.7265625" style="39"/>
    <col min="12033" max="12033" width="5.453125" style="39" bestFit="1" customWidth="1"/>
    <col min="12034" max="12034" width="9.453125" style="39" bestFit="1" customWidth="1"/>
    <col min="12035" max="12035" width="19.26953125" style="39" bestFit="1" customWidth="1"/>
    <col min="12036" max="12288" width="47.7265625" style="39"/>
    <col min="12289" max="12289" width="5.453125" style="39" bestFit="1" customWidth="1"/>
    <col min="12290" max="12290" width="9.453125" style="39" bestFit="1" customWidth="1"/>
    <col min="12291" max="12291" width="19.26953125" style="39" bestFit="1" customWidth="1"/>
    <col min="12292" max="12544" width="47.7265625" style="39"/>
    <col min="12545" max="12545" width="5.453125" style="39" bestFit="1" customWidth="1"/>
    <col min="12546" max="12546" width="9.453125" style="39" bestFit="1" customWidth="1"/>
    <col min="12547" max="12547" width="19.26953125" style="39" bestFit="1" customWidth="1"/>
    <col min="12548" max="12800" width="47.7265625" style="39"/>
    <col min="12801" max="12801" width="5.453125" style="39" bestFit="1" customWidth="1"/>
    <col min="12802" max="12802" width="9.453125" style="39" bestFit="1" customWidth="1"/>
    <col min="12803" max="12803" width="19.26953125" style="39" bestFit="1" customWidth="1"/>
    <col min="12804" max="13056" width="47.7265625" style="39"/>
    <col min="13057" max="13057" width="5.453125" style="39" bestFit="1" customWidth="1"/>
    <col min="13058" max="13058" width="9.453125" style="39" bestFit="1" customWidth="1"/>
    <col min="13059" max="13059" width="19.26953125" style="39" bestFit="1" customWidth="1"/>
    <col min="13060" max="13312" width="47.7265625" style="39"/>
    <col min="13313" max="13313" width="5.453125" style="39" bestFit="1" customWidth="1"/>
    <col min="13314" max="13314" width="9.453125" style="39" bestFit="1" customWidth="1"/>
    <col min="13315" max="13315" width="19.26953125" style="39" bestFit="1" customWidth="1"/>
    <col min="13316" max="13568" width="47.7265625" style="39"/>
    <col min="13569" max="13569" width="5.453125" style="39" bestFit="1" customWidth="1"/>
    <col min="13570" max="13570" width="9.453125" style="39" bestFit="1" customWidth="1"/>
    <col min="13571" max="13571" width="19.26953125" style="39" bestFit="1" customWidth="1"/>
    <col min="13572" max="13824" width="47.7265625" style="39"/>
    <col min="13825" max="13825" width="5.453125" style="39" bestFit="1" customWidth="1"/>
    <col min="13826" max="13826" width="9.453125" style="39" bestFit="1" customWidth="1"/>
    <col min="13827" max="13827" width="19.26953125" style="39" bestFit="1" customWidth="1"/>
    <col min="13828" max="14080" width="47.7265625" style="39"/>
    <col min="14081" max="14081" width="5.453125" style="39" bestFit="1" customWidth="1"/>
    <col min="14082" max="14082" width="9.453125" style="39" bestFit="1" customWidth="1"/>
    <col min="14083" max="14083" width="19.26953125" style="39" bestFit="1" customWidth="1"/>
    <col min="14084" max="14336" width="47.7265625" style="39"/>
    <col min="14337" max="14337" width="5.453125" style="39" bestFit="1" customWidth="1"/>
    <col min="14338" max="14338" width="9.453125" style="39" bestFit="1" customWidth="1"/>
    <col min="14339" max="14339" width="19.26953125" style="39" bestFit="1" customWidth="1"/>
    <col min="14340" max="14592" width="47.7265625" style="39"/>
    <col min="14593" max="14593" width="5.453125" style="39" bestFit="1" customWidth="1"/>
    <col min="14594" max="14594" width="9.453125" style="39" bestFit="1" customWidth="1"/>
    <col min="14595" max="14595" width="19.26953125" style="39" bestFit="1" customWidth="1"/>
    <col min="14596" max="14848" width="47.7265625" style="39"/>
    <col min="14849" max="14849" width="5.453125" style="39" bestFit="1" customWidth="1"/>
    <col min="14850" max="14850" width="9.453125" style="39" bestFit="1" customWidth="1"/>
    <col min="14851" max="14851" width="19.26953125" style="39" bestFit="1" customWidth="1"/>
    <col min="14852" max="15104" width="47.7265625" style="39"/>
    <col min="15105" max="15105" width="5.453125" style="39" bestFit="1" customWidth="1"/>
    <col min="15106" max="15106" width="9.453125" style="39" bestFit="1" customWidth="1"/>
    <col min="15107" max="15107" width="19.26953125" style="39" bestFit="1" customWidth="1"/>
    <col min="15108" max="15360" width="47.7265625" style="39"/>
    <col min="15361" max="15361" width="5.453125" style="39" bestFit="1" customWidth="1"/>
    <col min="15362" max="15362" width="9.453125" style="39" bestFit="1" customWidth="1"/>
    <col min="15363" max="15363" width="19.26953125" style="39" bestFit="1" customWidth="1"/>
    <col min="15364" max="15616" width="47.7265625" style="39"/>
    <col min="15617" max="15617" width="5.453125" style="39" bestFit="1" customWidth="1"/>
    <col min="15618" max="15618" width="9.453125" style="39" bestFit="1" customWidth="1"/>
    <col min="15619" max="15619" width="19.26953125" style="39" bestFit="1" customWidth="1"/>
    <col min="15620" max="15872" width="47.7265625" style="39"/>
    <col min="15873" max="15873" width="5.453125" style="39" bestFit="1" customWidth="1"/>
    <col min="15874" max="15874" width="9.453125" style="39" bestFit="1" customWidth="1"/>
    <col min="15875" max="15875" width="19.26953125" style="39" bestFit="1" customWidth="1"/>
    <col min="15876" max="16128" width="47.7265625" style="39"/>
    <col min="16129" max="16129" width="5.453125" style="39" bestFit="1" customWidth="1"/>
    <col min="16130" max="16130" width="9.453125" style="39" bestFit="1" customWidth="1"/>
    <col min="16131" max="16131" width="19.26953125" style="39" bestFit="1" customWidth="1"/>
    <col min="16132" max="16384" width="47.7265625" style="39"/>
  </cols>
  <sheetData>
    <row r="1" spans="1:3" x14ac:dyDescent="0.35">
      <c r="A1" s="61" t="s">
        <v>611</v>
      </c>
      <c r="B1" s="61" t="s">
        <v>612</v>
      </c>
      <c r="C1" s="61" t="s">
        <v>613</v>
      </c>
    </row>
    <row r="2" spans="1:3" x14ac:dyDescent="0.35">
      <c r="A2" s="62">
        <v>1</v>
      </c>
      <c r="B2" s="62" t="s">
        <v>0</v>
      </c>
      <c r="C2" s="62" t="s">
        <v>563</v>
      </c>
    </row>
    <row r="3" spans="1:3" x14ac:dyDescent="0.35">
      <c r="A3" s="62">
        <v>2</v>
      </c>
      <c r="B3" s="62" t="s">
        <v>196</v>
      </c>
      <c r="C3" s="62" t="s">
        <v>562</v>
      </c>
    </row>
    <row r="4" spans="1:3" x14ac:dyDescent="0.35">
      <c r="A4" s="62">
        <v>3</v>
      </c>
      <c r="B4" s="62" t="s">
        <v>276</v>
      </c>
      <c r="C4" s="62" t="s">
        <v>614</v>
      </c>
    </row>
    <row r="5" spans="1:3" x14ac:dyDescent="0.35">
      <c r="A5" s="62">
        <f>+A4+1</f>
        <v>4</v>
      </c>
      <c r="B5" s="62" t="s">
        <v>397</v>
      </c>
      <c r="C5" s="62" t="s">
        <v>565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M120"/>
  <sheetViews>
    <sheetView showGridLines="0" workbookViewId="0"/>
  </sheetViews>
  <sheetFormatPr defaultRowHeight="14.5" x14ac:dyDescent="0.35"/>
  <cols>
    <col min="1" max="1" width="3.36328125" customWidth="1"/>
    <col min="2" max="2" width="52.26953125" customWidth="1"/>
    <col min="3" max="4" width="25" customWidth="1"/>
    <col min="5" max="5" width="20" customWidth="1"/>
    <col min="6" max="6" width="25" customWidth="1"/>
    <col min="7" max="9" width="20" customWidth="1"/>
  </cols>
  <sheetData>
    <row r="1" spans="1:9" ht="20" customHeight="1" x14ac:dyDescent="0.35">
      <c r="A1" s="1" t="s">
        <v>0</v>
      </c>
      <c r="B1" s="70" t="s">
        <v>1</v>
      </c>
      <c r="C1" s="70"/>
      <c r="D1" s="70"/>
      <c r="E1" s="70"/>
      <c r="F1" s="70"/>
      <c r="G1" s="70"/>
      <c r="H1" s="71"/>
      <c r="I1" s="70"/>
    </row>
    <row r="2" spans="1:9" ht="20" x14ac:dyDescent="0.35">
      <c r="A2" s="2"/>
      <c r="B2" s="70" t="s">
        <v>563</v>
      </c>
      <c r="C2" s="70"/>
      <c r="D2" s="70"/>
      <c r="E2" s="70"/>
      <c r="F2" s="70"/>
      <c r="G2" s="70"/>
      <c r="H2" s="71"/>
      <c r="I2" s="70"/>
    </row>
    <row r="3" spans="1:9" ht="20" customHeight="1" x14ac:dyDescent="0.35">
      <c r="A3" s="2"/>
      <c r="B3" s="70" t="s">
        <v>2</v>
      </c>
      <c r="C3" s="70"/>
      <c r="D3" s="70"/>
      <c r="E3" s="70"/>
      <c r="F3" s="70"/>
      <c r="G3" s="70"/>
      <c r="H3" s="71"/>
      <c r="I3" s="70"/>
    </row>
    <row r="4" spans="1:9" ht="13" customHeight="1" x14ac:dyDescent="0.35">
      <c r="A4" s="2"/>
      <c r="B4" s="72"/>
      <c r="C4" s="72"/>
      <c r="D4" s="72"/>
      <c r="E4" s="72"/>
      <c r="F4" s="72"/>
      <c r="G4" s="72"/>
      <c r="H4" s="72"/>
      <c r="I4" s="72"/>
    </row>
    <row r="5" spans="1:9" ht="28" customHeight="1" x14ac:dyDescent="0.35">
      <c r="A5" s="2"/>
      <c r="B5" s="3" t="s">
        <v>3</v>
      </c>
      <c r="C5" s="4" t="s">
        <v>4</v>
      </c>
      <c r="D5" s="4" t="s">
        <v>5</v>
      </c>
      <c r="E5" s="4" t="s">
        <v>6</v>
      </c>
      <c r="F5" s="4" t="s">
        <v>7</v>
      </c>
      <c r="G5" s="4" t="s">
        <v>8</v>
      </c>
      <c r="H5" s="4" t="s">
        <v>9</v>
      </c>
      <c r="I5" s="5" t="s">
        <v>610</v>
      </c>
    </row>
    <row r="6" spans="1:9" ht="13" customHeight="1" x14ac:dyDescent="0.35">
      <c r="A6" s="2"/>
      <c r="B6" s="6" t="s">
        <v>10</v>
      </c>
      <c r="C6" s="7"/>
      <c r="D6" s="7"/>
      <c r="E6" s="7"/>
      <c r="F6" s="7"/>
      <c r="G6" s="7"/>
      <c r="H6" s="7"/>
      <c r="I6" s="8"/>
    </row>
    <row r="7" spans="1:9" ht="13" customHeight="1" x14ac:dyDescent="0.35">
      <c r="A7" s="2"/>
      <c r="B7" s="6" t="s">
        <v>11</v>
      </c>
      <c r="C7" s="9"/>
      <c r="D7" s="9"/>
      <c r="E7" s="7"/>
      <c r="F7" s="7"/>
      <c r="G7" s="7"/>
      <c r="H7" s="7"/>
      <c r="I7" s="8"/>
    </row>
    <row r="8" spans="1:9" ht="13" customHeight="1" x14ac:dyDescent="0.35">
      <c r="A8" s="1" t="s">
        <v>12</v>
      </c>
      <c r="B8" s="10" t="s">
        <v>13</v>
      </c>
      <c r="C8" s="11" t="s">
        <v>14</v>
      </c>
      <c r="D8" s="7" t="s">
        <v>15</v>
      </c>
      <c r="E8" s="12">
        <v>2950000</v>
      </c>
      <c r="F8" s="13">
        <v>38990.15</v>
      </c>
      <c r="G8" s="13">
        <v>4.97</v>
      </c>
      <c r="H8" s="13"/>
      <c r="I8" s="14"/>
    </row>
    <row r="9" spans="1:9" ht="13" customHeight="1" x14ac:dyDescent="0.35">
      <c r="A9" s="1" t="s">
        <v>16</v>
      </c>
      <c r="B9" s="10" t="s">
        <v>17</v>
      </c>
      <c r="C9" s="11" t="s">
        <v>18</v>
      </c>
      <c r="D9" s="7" t="s">
        <v>15</v>
      </c>
      <c r="E9" s="12">
        <v>5000000</v>
      </c>
      <c r="F9" s="13">
        <v>35435</v>
      </c>
      <c r="G9" s="13">
        <v>4.5199999999999996</v>
      </c>
      <c r="H9" s="13"/>
      <c r="I9" s="14"/>
    </row>
    <row r="10" spans="1:9" ht="13" customHeight="1" x14ac:dyDescent="0.35">
      <c r="A10" s="1" t="s">
        <v>19</v>
      </c>
      <c r="B10" s="10" t="s">
        <v>20</v>
      </c>
      <c r="C10" s="11" t="s">
        <v>21</v>
      </c>
      <c r="D10" s="7" t="s">
        <v>15</v>
      </c>
      <c r="E10" s="12">
        <v>3000000</v>
      </c>
      <c r="F10" s="13">
        <v>28785</v>
      </c>
      <c r="G10" s="13">
        <v>3.67</v>
      </c>
      <c r="H10" s="13"/>
      <c r="I10" s="14"/>
    </row>
    <row r="11" spans="1:9" ht="13" customHeight="1" x14ac:dyDescent="0.35">
      <c r="A11" s="1" t="s">
        <v>22</v>
      </c>
      <c r="B11" s="10" t="s">
        <v>23</v>
      </c>
      <c r="C11" s="11" t="s">
        <v>24</v>
      </c>
      <c r="D11" s="7" t="s">
        <v>25</v>
      </c>
      <c r="E11" s="12">
        <v>7850000</v>
      </c>
      <c r="F11" s="13">
        <v>25335.88</v>
      </c>
      <c r="G11" s="13">
        <v>3.23</v>
      </c>
      <c r="H11" s="13"/>
      <c r="I11" s="14"/>
    </row>
    <row r="12" spans="1:9" ht="13" customHeight="1" x14ac:dyDescent="0.35">
      <c r="A12" s="1" t="s">
        <v>26</v>
      </c>
      <c r="B12" s="10" t="s">
        <v>27</v>
      </c>
      <c r="C12" s="11" t="s">
        <v>28</v>
      </c>
      <c r="D12" s="7" t="s">
        <v>29</v>
      </c>
      <c r="E12" s="12">
        <v>1925000</v>
      </c>
      <c r="F12" s="13">
        <v>22849.75</v>
      </c>
      <c r="G12" s="13">
        <v>2.91</v>
      </c>
      <c r="H12" s="13"/>
      <c r="I12" s="14"/>
    </row>
    <row r="13" spans="1:9" ht="13" customHeight="1" x14ac:dyDescent="0.35">
      <c r="A13" s="1" t="s">
        <v>30</v>
      </c>
      <c r="B13" s="10" t="s">
        <v>31</v>
      </c>
      <c r="C13" s="11" t="s">
        <v>32</v>
      </c>
      <c r="D13" s="7" t="s">
        <v>33</v>
      </c>
      <c r="E13" s="12">
        <v>600000</v>
      </c>
      <c r="F13" s="13">
        <v>22560</v>
      </c>
      <c r="G13" s="13">
        <v>2.88</v>
      </c>
      <c r="H13" s="13"/>
      <c r="I13" s="14"/>
    </row>
    <row r="14" spans="1:9" ht="13" customHeight="1" x14ac:dyDescent="0.35">
      <c r="A14" s="1" t="s">
        <v>34</v>
      </c>
      <c r="B14" s="10" t="s">
        <v>35</v>
      </c>
      <c r="C14" s="11" t="s">
        <v>36</v>
      </c>
      <c r="D14" s="7" t="s">
        <v>37</v>
      </c>
      <c r="E14" s="12">
        <v>5750536</v>
      </c>
      <c r="F14" s="13">
        <v>21461</v>
      </c>
      <c r="G14" s="13">
        <v>2.74</v>
      </c>
      <c r="H14" s="13"/>
      <c r="I14" s="14"/>
    </row>
    <row r="15" spans="1:9" ht="13" customHeight="1" x14ac:dyDescent="0.35">
      <c r="A15" s="1" t="s">
        <v>38</v>
      </c>
      <c r="B15" s="10" t="s">
        <v>39</v>
      </c>
      <c r="C15" s="11" t="s">
        <v>40</v>
      </c>
      <c r="D15" s="7" t="s">
        <v>41</v>
      </c>
      <c r="E15" s="12">
        <v>912517</v>
      </c>
      <c r="F15" s="13">
        <v>21362.02</v>
      </c>
      <c r="G15" s="13">
        <v>2.72</v>
      </c>
      <c r="H15" s="13"/>
      <c r="I15" s="14"/>
    </row>
    <row r="16" spans="1:9" ht="13" customHeight="1" x14ac:dyDescent="0.35">
      <c r="A16" s="1" t="s">
        <v>42</v>
      </c>
      <c r="B16" s="10" t="s">
        <v>43</v>
      </c>
      <c r="C16" s="11" t="s">
        <v>44</v>
      </c>
      <c r="D16" s="7" t="s">
        <v>15</v>
      </c>
      <c r="E16" s="12">
        <v>6500000</v>
      </c>
      <c r="F16" s="13">
        <v>20631</v>
      </c>
      <c r="G16" s="13">
        <v>2.63</v>
      </c>
      <c r="H16" s="13"/>
      <c r="I16" s="14"/>
    </row>
    <row r="17" spans="1:9" ht="13" customHeight="1" x14ac:dyDescent="0.35">
      <c r="A17" s="1" t="s">
        <v>45</v>
      </c>
      <c r="B17" s="10" t="s">
        <v>46</v>
      </c>
      <c r="C17" s="11" t="s">
        <v>47</v>
      </c>
      <c r="D17" s="7" t="s">
        <v>48</v>
      </c>
      <c r="E17" s="12">
        <v>3569337</v>
      </c>
      <c r="F17" s="13">
        <v>20480.86</v>
      </c>
      <c r="G17" s="13">
        <v>2.61</v>
      </c>
      <c r="H17" s="13"/>
      <c r="I17" s="14"/>
    </row>
    <row r="18" spans="1:9" ht="13" customHeight="1" x14ac:dyDescent="0.35">
      <c r="A18" s="1" t="s">
        <v>49</v>
      </c>
      <c r="B18" s="10" t="s">
        <v>50</v>
      </c>
      <c r="C18" s="11" t="s">
        <v>51</v>
      </c>
      <c r="D18" s="7" t="s">
        <v>52</v>
      </c>
      <c r="E18" s="12">
        <v>644033</v>
      </c>
      <c r="F18" s="13">
        <v>20201.38</v>
      </c>
      <c r="G18" s="13">
        <v>2.58</v>
      </c>
      <c r="H18" s="13"/>
      <c r="I18" s="14"/>
    </row>
    <row r="19" spans="1:9" ht="13" customHeight="1" x14ac:dyDescent="0.35">
      <c r="A19" s="1" t="s">
        <v>53</v>
      </c>
      <c r="B19" s="10" t="s">
        <v>54</v>
      </c>
      <c r="C19" s="11" t="s">
        <v>55</v>
      </c>
      <c r="D19" s="7" t="s">
        <v>56</v>
      </c>
      <c r="E19" s="12">
        <v>1185000</v>
      </c>
      <c r="F19" s="13">
        <v>20136.71</v>
      </c>
      <c r="G19" s="13">
        <v>2.57</v>
      </c>
      <c r="H19" s="13"/>
      <c r="I19" s="14"/>
    </row>
    <row r="20" spans="1:9" ht="13" customHeight="1" x14ac:dyDescent="0.35">
      <c r="A20" s="1" t="s">
        <v>57</v>
      </c>
      <c r="B20" s="10" t="s">
        <v>58</v>
      </c>
      <c r="C20" s="11" t="s">
        <v>59</v>
      </c>
      <c r="D20" s="7" t="s">
        <v>60</v>
      </c>
      <c r="E20" s="12">
        <v>150000</v>
      </c>
      <c r="F20" s="13">
        <v>19650</v>
      </c>
      <c r="G20" s="13">
        <v>2.5099999999999998</v>
      </c>
      <c r="H20" s="13"/>
      <c r="I20" s="14"/>
    </row>
    <row r="21" spans="1:9" ht="13" customHeight="1" x14ac:dyDescent="0.35">
      <c r="A21" s="1" t="s">
        <v>61</v>
      </c>
      <c r="B21" s="10" t="s">
        <v>62</v>
      </c>
      <c r="C21" s="11" t="s">
        <v>63</v>
      </c>
      <c r="D21" s="7" t="s">
        <v>64</v>
      </c>
      <c r="E21" s="12">
        <v>950000</v>
      </c>
      <c r="F21" s="13">
        <v>19498.75</v>
      </c>
      <c r="G21" s="13">
        <v>2.4900000000000002</v>
      </c>
      <c r="H21" s="13"/>
      <c r="I21" s="14"/>
    </row>
    <row r="22" spans="1:9" ht="13" customHeight="1" x14ac:dyDescent="0.35">
      <c r="A22" s="1" t="s">
        <v>65</v>
      </c>
      <c r="B22" s="10" t="s">
        <v>66</v>
      </c>
      <c r="C22" s="11" t="s">
        <v>67</v>
      </c>
      <c r="D22" s="7" t="s">
        <v>52</v>
      </c>
      <c r="E22" s="12">
        <v>1875000</v>
      </c>
      <c r="F22" s="13">
        <v>19312.5</v>
      </c>
      <c r="G22" s="13">
        <v>2.46</v>
      </c>
      <c r="H22" s="13"/>
      <c r="I22" s="14"/>
    </row>
    <row r="23" spans="1:9" ht="13" customHeight="1" x14ac:dyDescent="0.35">
      <c r="A23" s="1" t="s">
        <v>68</v>
      </c>
      <c r="B23" s="10" t="s">
        <v>69</v>
      </c>
      <c r="C23" s="11" t="s">
        <v>70</v>
      </c>
      <c r="D23" s="7" t="s">
        <v>71</v>
      </c>
      <c r="E23" s="12">
        <v>4650000</v>
      </c>
      <c r="F23" s="13">
        <v>19199.849999999999</v>
      </c>
      <c r="G23" s="13">
        <v>2.4500000000000002</v>
      </c>
      <c r="H23" s="13"/>
      <c r="I23" s="14"/>
    </row>
    <row r="24" spans="1:9" ht="13" customHeight="1" x14ac:dyDescent="0.35">
      <c r="A24" s="1" t="s">
        <v>72</v>
      </c>
      <c r="B24" s="10" t="s">
        <v>73</v>
      </c>
      <c r="C24" s="11" t="s">
        <v>74</v>
      </c>
      <c r="D24" s="7" t="s">
        <v>75</v>
      </c>
      <c r="E24" s="12">
        <v>900000</v>
      </c>
      <c r="F24" s="13">
        <v>18271.8</v>
      </c>
      <c r="G24" s="13">
        <v>2.33</v>
      </c>
      <c r="H24" s="13"/>
      <c r="I24" s="14"/>
    </row>
    <row r="25" spans="1:9" ht="13" customHeight="1" x14ac:dyDescent="0.35">
      <c r="A25" s="1" t="s">
        <v>76</v>
      </c>
      <c r="B25" s="10" t="s">
        <v>77</v>
      </c>
      <c r="C25" s="11" t="s">
        <v>78</v>
      </c>
      <c r="D25" s="7" t="s">
        <v>52</v>
      </c>
      <c r="E25" s="12">
        <v>9000000</v>
      </c>
      <c r="F25" s="13">
        <v>16551.900000000001</v>
      </c>
      <c r="G25" s="13">
        <v>2.11</v>
      </c>
      <c r="H25" s="13"/>
      <c r="I25" s="14"/>
    </row>
    <row r="26" spans="1:9" ht="13" customHeight="1" x14ac:dyDescent="0.35">
      <c r="A26" s="1" t="s">
        <v>79</v>
      </c>
      <c r="B26" s="10" t="s">
        <v>80</v>
      </c>
      <c r="C26" s="11" t="s">
        <v>81</v>
      </c>
      <c r="D26" s="7" t="s">
        <v>82</v>
      </c>
      <c r="E26" s="12">
        <v>550000</v>
      </c>
      <c r="F26" s="13">
        <v>16225</v>
      </c>
      <c r="G26" s="13">
        <v>2.0699999999999998</v>
      </c>
      <c r="H26" s="13"/>
      <c r="I26" s="14"/>
    </row>
    <row r="27" spans="1:9" ht="13" customHeight="1" x14ac:dyDescent="0.35">
      <c r="A27" s="1" t="s">
        <v>83</v>
      </c>
      <c r="B27" s="10" t="s">
        <v>84</v>
      </c>
      <c r="C27" s="11" t="s">
        <v>85</v>
      </c>
      <c r="D27" s="7" t="s">
        <v>75</v>
      </c>
      <c r="E27" s="12">
        <v>447651</v>
      </c>
      <c r="F27" s="13">
        <v>16208.55</v>
      </c>
      <c r="G27" s="13">
        <v>2.0699999999999998</v>
      </c>
      <c r="H27" s="13"/>
      <c r="I27" s="14"/>
    </row>
    <row r="28" spans="1:9" ht="13" customHeight="1" x14ac:dyDescent="0.35">
      <c r="A28" s="1" t="s">
        <v>86</v>
      </c>
      <c r="B28" s="10" t="s">
        <v>87</v>
      </c>
      <c r="C28" s="11" t="s">
        <v>88</v>
      </c>
      <c r="D28" s="7" t="s">
        <v>75</v>
      </c>
      <c r="E28" s="12">
        <v>170000</v>
      </c>
      <c r="F28" s="13">
        <v>15795.55</v>
      </c>
      <c r="G28" s="13">
        <v>2.0099999999999998</v>
      </c>
      <c r="H28" s="13"/>
      <c r="I28" s="14"/>
    </row>
    <row r="29" spans="1:9" ht="13" customHeight="1" x14ac:dyDescent="0.35">
      <c r="A29" s="1" t="s">
        <v>89</v>
      </c>
      <c r="B29" s="10" t="s">
        <v>90</v>
      </c>
      <c r="C29" s="11" t="s">
        <v>91</v>
      </c>
      <c r="D29" s="7" t="s">
        <v>92</v>
      </c>
      <c r="E29" s="12">
        <v>8500000</v>
      </c>
      <c r="F29" s="13">
        <v>15665.5</v>
      </c>
      <c r="G29" s="13">
        <v>2</v>
      </c>
      <c r="H29" s="13"/>
      <c r="I29" s="14"/>
    </row>
    <row r="30" spans="1:9" ht="13" customHeight="1" x14ac:dyDescent="0.35">
      <c r="A30" s="1" t="s">
        <v>93</v>
      </c>
      <c r="B30" s="10" t="s">
        <v>94</v>
      </c>
      <c r="C30" s="11" t="s">
        <v>95</v>
      </c>
      <c r="D30" s="7" t="s">
        <v>96</v>
      </c>
      <c r="E30" s="12">
        <v>3700000</v>
      </c>
      <c r="F30" s="13">
        <v>15601.05</v>
      </c>
      <c r="G30" s="13">
        <v>1.99</v>
      </c>
      <c r="H30" s="13"/>
      <c r="I30" s="14"/>
    </row>
    <row r="31" spans="1:9" ht="13" customHeight="1" x14ac:dyDescent="0.35">
      <c r="A31" s="1" t="s">
        <v>97</v>
      </c>
      <c r="B31" s="10" t="s">
        <v>98</v>
      </c>
      <c r="C31" s="11" t="s">
        <v>99</v>
      </c>
      <c r="D31" s="7" t="s">
        <v>100</v>
      </c>
      <c r="E31" s="12">
        <v>2300000</v>
      </c>
      <c r="F31" s="13">
        <v>15502</v>
      </c>
      <c r="G31" s="13">
        <v>1.98</v>
      </c>
      <c r="H31" s="13"/>
      <c r="I31" s="14"/>
    </row>
    <row r="32" spans="1:9" ht="13" customHeight="1" x14ac:dyDescent="0.35">
      <c r="A32" s="1" t="s">
        <v>101</v>
      </c>
      <c r="B32" s="10" t="s">
        <v>102</v>
      </c>
      <c r="C32" s="11" t="s">
        <v>103</v>
      </c>
      <c r="D32" s="7" t="s">
        <v>104</v>
      </c>
      <c r="E32" s="12">
        <v>1100000</v>
      </c>
      <c r="F32" s="13">
        <v>14894</v>
      </c>
      <c r="G32" s="13">
        <v>1.9</v>
      </c>
      <c r="H32" s="13"/>
      <c r="I32" s="14"/>
    </row>
    <row r="33" spans="1:9" ht="13" customHeight="1" x14ac:dyDescent="0.35">
      <c r="A33" s="1" t="s">
        <v>105</v>
      </c>
      <c r="B33" s="10" t="s">
        <v>106</v>
      </c>
      <c r="C33" s="11" t="s">
        <v>107</v>
      </c>
      <c r="D33" s="7" t="s">
        <v>108</v>
      </c>
      <c r="E33" s="12">
        <v>1729616</v>
      </c>
      <c r="F33" s="13">
        <v>14774.38</v>
      </c>
      <c r="G33" s="13">
        <v>1.88</v>
      </c>
      <c r="H33" s="13"/>
      <c r="I33" s="14"/>
    </row>
    <row r="34" spans="1:9" ht="13" customHeight="1" x14ac:dyDescent="0.35">
      <c r="A34" s="1" t="s">
        <v>109</v>
      </c>
      <c r="B34" s="10" t="s">
        <v>110</v>
      </c>
      <c r="C34" s="11" t="s">
        <v>111</v>
      </c>
      <c r="D34" s="7" t="s">
        <v>108</v>
      </c>
      <c r="E34" s="12">
        <v>4665000</v>
      </c>
      <c r="F34" s="13">
        <v>14736.74</v>
      </c>
      <c r="G34" s="13">
        <v>1.88</v>
      </c>
      <c r="H34" s="13"/>
      <c r="I34" s="14"/>
    </row>
    <row r="35" spans="1:9" ht="13" customHeight="1" x14ac:dyDescent="0.35">
      <c r="A35" s="1" t="s">
        <v>112</v>
      </c>
      <c r="B35" s="10" t="s">
        <v>113</v>
      </c>
      <c r="C35" s="11" t="s">
        <v>114</v>
      </c>
      <c r="D35" s="7" t="s">
        <v>115</v>
      </c>
      <c r="E35" s="12">
        <v>2400000</v>
      </c>
      <c r="F35" s="13">
        <v>14418</v>
      </c>
      <c r="G35" s="13">
        <v>1.84</v>
      </c>
      <c r="H35" s="13"/>
      <c r="I35" s="14"/>
    </row>
    <row r="36" spans="1:9" ht="13" customHeight="1" x14ac:dyDescent="0.35">
      <c r="A36" s="1" t="s">
        <v>116</v>
      </c>
      <c r="B36" s="10" t="s">
        <v>117</v>
      </c>
      <c r="C36" s="11" t="s">
        <v>118</v>
      </c>
      <c r="D36" s="7" t="s">
        <v>119</v>
      </c>
      <c r="E36" s="12">
        <v>2900000</v>
      </c>
      <c r="F36" s="13">
        <v>12870.2</v>
      </c>
      <c r="G36" s="13">
        <v>1.64</v>
      </c>
      <c r="H36" s="13"/>
      <c r="I36" s="14"/>
    </row>
    <row r="37" spans="1:9" ht="13" customHeight="1" x14ac:dyDescent="0.35">
      <c r="A37" s="1" t="s">
        <v>120</v>
      </c>
      <c r="B37" s="10" t="s">
        <v>121</v>
      </c>
      <c r="C37" s="11" t="s">
        <v>122</v>
      </c>
      <c r="D37" s="7" t="s">
        <v>115</v>
      </c>
      <c r="E37" s="12">
        <v>9005000</v>
      </c>
      <c r="F37" s="13">
        <v>12852.84</v>
      </c>
      <c r="G37" s="13">
        <v>1.64</v>
      </c>
      <c r="H37" s="13"/>
      <c r="I37" s="14"/>
    </row>
    <row r="38" spans="1:9" ht="13" customHeight="1" x14ac:dyDescent="0.35">
      <c r="A38" s="1" t="s">
        <v>123</v>
      </c>
      <c r="B38" s="10" t="s">
        <v>124</v>
      </c>
      <c r="C38" s="11" t="s">
        <v>125</v>
      </c>
      <c r="D38" s="7" t="s">
        <v>126</v>
      </c>
      <c r="E38" s="12">
        <v>119574</v>
      </c>
      <c r="F38" s="13">
        <v>12710.72</v>
      </c>
      <c r="G38" s="13">
        <v>1.62</v>
      </c>
      <c r="H38" s="13"/>
      <c r="I38" s="14"/>
    </row>
    <row r="39" spans="1:9" ht="13" customHeight="1" x14ac:dyDescent="0.35">
      <c r="A39" s="1" t="s">
        <v>127</v>
      </c>
      <c r="B39" s="10" t="s">
        <v>128</v>
      </c>
      <c r="C39" s="11" t="s">
        <v>129</v>
      </c>
      <c r="D39" s="7" t="s">
        <v>115</v>
      </c>
      <c r="E39" s="12">
        <v>1130000</v>
      </c>
      <c r="F39" s="13">
        <v>12656</v>
      </c>
      <c r="G39" s="13">
        <v>1.61</v>
      </c>
      <c r="H39" s="13"/>
      <c r="I39" s="14"/>
    </row>
    <row r="40" spans="1:9" ht="13" customHeight="1" x14ac:dyDescent="0.35">
      <c r="A40" s="1" t="s">
        <v>130</v>
      </c>
      <c r="B40" s="10" t="s">
        <v>131</v>
      </c>
      <c r="C40" s="11" t="s">
        <v>132</v>
      </c>
      <c r="D40" s="7" t="s">
        <v>96</v>
      </c>
      <c r="E40" s="12">
        <v>628700</v>
      </c>
      <c r="F40" s="13">
        <v>12526.22</v>
      </c>
      <c r="G40" s="13">
        <v>1.6</v>
      </c>
      <c r="H40" s="13"/>
      <c r="I40" s="14"/>
    </row>
    <row r="41" spans="1:9" ht="13" customHeight="1" x14ac:dyDescent="0.35">
      <c r="A41" s="1" t="s">
        <v>133</v>
      </c>
      <c r="B41" s="10" t="s">
        <v>134</v>
      </c>
      <c r="C41" s="11" t="s">
        <v>135</v>
      </c>
      <c r="D41" s="7" t="s">
        <v>136</v>
      </c>
      <c r="E41" s="12">
        <v>3200000</v>
      </c>
      <c r="F41" s="13">
        <v>12398.4</v>
      </c>
      <c r="G41" s="13">
        <v>1.58</v>
      </c>
      <c r="H41" s="13"/>
      <c r="I41" s="14"/>
    </row>
    <row r="42" spans="1:9" ht="13" customHeight="1" x14ac:dyDescent="0.35">
      <c r="A42" s="1" t="s">
        <v>137</v>
      </c>
      <c r="B42" s="10" t="s">
        <v>138</v>
      </c>
      <c r="C42" s="11" t="s">
        <v>139</v>
      </c>
      <c r="D42" s="7" t="s">
        <v>136</v>
      </c>
      <c r="E42" s="12">
        <v>7289363</v>
      </c>
      <c r="F42" s="13">
        <v>11479.29</v>
      </c>
      <c r="G42" s="13">
        <v>1.46</v>
      </c>
      <c r="H42" s="13"/>
      <c r="I42" s="14"/>
    </row>
    <row r="43" spans="1:9" ht="13" customHeight="1" x14ac:dyDescent="0.35">
      <c r="A43" s="1" t="s">
        <v>140</v>
      </c>
      <c r="B43" s="10" t="s">
        <v>141</v>
      </c>
      <c r="C43" s="11" t="s">
        <v>142</v>
      </c>
      <c r="D43" s="7" t="s">
        <v>64</v>
      </c>
      <c r="E43" s="12">
        <v>1462464</v>
      </c>
      <c r="F43" s="13">
        <v>9896.49</v>
      </c>
      <c r="G43" s="13">
        <v>1.26</v>
      </c>
      <c r="H43" s="13"/>
      <c r="I43" s="14"/>
    </row>
    <row r="44" spans="1:9" ht="13" customHeight="1" x14ac:dyDescent="0.35">
      <c r="A44" s="1" t="s">
        <v>143</v>
      </c>
      <c r="B44" s="10" t="s">
        <v>144</v>
      </c>
      <c r="C44" s="11" t="s">
        <v>145</v>
      </c>
      <c r="D44" s="7" t="s">
        <v>60</v>
      </c>
      <c r="E44" s="12">
        <v>792850</v>
      </c>
      <c r="F44" s="13">
        <v>9792.49</v>
      </c>
      <c r="G44" s="13">
        <v>1.25</v>
      </c>
      <c r="H44" s="13"/>
      <c r="I44" s="14"/>
    </row>
    <row r="45" spans="1:9" ht="13" customHeight="1" x14ac:dyDescent="0.35">
      <c r="A45" s="1" t="s">
        <v>146</v>
      </c>
      <c r="B45" s="10" t="s">
        <v>147</v>
      </c>
      <c r="C45" s="11" t="s">
        <v>148</v>
      </c>
      <c r="D45" s="7" t="s">
        <v>82</v>
      </c>
      <c r="E45" s="12">
        <v>86886</v>
      </c>
      <c r="F45" s="13">
        <v>9447.98</v>
      </c>
      <c r="G45" s="13">
        <v>1.2</v>
      </c>
      <c r="H45" s="13"/>
      <c r="I45" s="14"/>
    </row>
    <row r="46" spans="1:9" ht="13" customHeight="1" x14ac:dyDescent="0.35">
      <c r="A46" s="1" t="s">
        <v>149</v>
      </c>
      <c r="B46" s="10" t="s">
        <v>150</v>
      </c>
      <c r="C46" s="11" t="s">
        <v>151</v>
      </c>
      <c r="D46" s="7" t="s">
        <v>75</v>
      </c>
      <c r="E46" s="12">
        <v>700000</v>
      </c>
      <c r="F46" s="13">
        <v>8134</v>
      </c>
      <c r="G46" s="13">
        <v>1.04</v>
      </c>
      <c r="H46" s="13"/>
      <c r="I46" s="14"/>
    </row>
    <row r="47" spans="1:9" ht="13" customHeight="1" x14ac:dyDescent="0.35">
      <c r="A47" s="1" t="s">
        <v>152</v>
      </c>
      <c r="B47" s="10" t="s">
        <v>153</v>
      </c>
      <c r="C47" s="11" t="s">
        <v>154</v>
      </c>
      <c r="D47" s="7" t="s">
        <v>155</v>
      </c>
      <c r="E47" s="12">
        <v>2534466</v>
      </c>
      <c r="F47" s="13">
        <v>8006.38</v>
      </c>
      <c r="G47" s="13">
        <v>1.02</v>
      </c>
      <c r="H47" s="13"/>
      <c r="I47" s="14"/>
    </row>
    <row r="48" spans="1:9" ht="13" customHeight="1" x14ac:dyDescent="0.35">
      <c r="A48" s="1" t="s">
        <v>156</v>
      </c>
      <c r="B48" s="10" t="s">
        <v>157</v>
      </c>
      <c r="C48" s="11" t="s">
        <v>158</v>
      </c>
      <c r="D48" s="7" t="s">
        <v>159</v>
      </c>
      <c r="E48" s="12">
        <v>745000</v>
      </c>
      <c r="F48" s="13">
        <v>7926.06</v>
      </c>
      <c r="G48" s="13">
        <v>1.01</v>
      </c>
      <c r="H48" s="13"/>
      <c r="I48" s="14"/>
    </row>
    <row r="49" spans="1:9" ht="13" customHeight="1" x14ac:dyDescent="0.35">
      <c r="A49" s="1" t="s">
        <v>160</v>
      </c>
      <c r="B49" s="10" t="s">
        <v>161</v>
      </c>
      <c r="C49" s="11" t="s">
        <v>162</v>
      </c>
      <c r="D49" s="7" t="s">
        <v>25</v>
      </c>
      <c r="E49" s="12">
        <v>22377615</v>
      </c>
      <c r="F49" s="13">
        <v>7348.81</v>
      </c>
      <c r="G49" s="13">
        <v>0.94</v>
      </c>
      <c r="H49" s="13"/>
      <c r="I49" s="14"/>
    </row>
    <row r="50" spans="1:9" ht="13" customHeight="1" x14ac:dyDescent="0.35">
      <c r="A50" s="1" t="s">
        <v>163</v>
      </c>
      <c r="B50" s="10" t="s">
        <v>164</v>
      </c>
      <c r="C50" s="11" t="s">
        <v>165</v>
      </c>
      <c r="D50" s="7" t="s">
        <v>166</v>
      </c>
      <c r="E50" s="12">
        <v>1769064</v>
      </c>
      <c r="F50" s="13">
        <v>7111.64</v>
      </c>
      <c r="G50" s="13">
        <v>0.91</v>
      </c>
      <c r="H50" s="13"/>
      <c r="I50" s="14"/>
    </row>
    <row r="51" spans="1:9" ht="13" customHeight="1" x14ac:dyDescent="0.35">
      <c r="A51" s="1" t="s">
        <v>167</v>
      </c>
      <c r="B51" s="10" t="s">
        <v>168</v>
      </c>
      <c r="C51" s="11" t="s">
        <v>169</v>
      </c>
      <c r="D51" s="7" t="s">
        <v>56</v>
      </c>
      <c r="E51" s="12">
        <v>485071</v>
      </c>
      <c r="F51" s="13">
        <v>6553.31</v>
      </c>
      <c r="G51" s="13">
        <v>0.84</v>
      </c>
      <c r="H51" s="13"/>
      <c r="I51" s="14"/>
    </row>
    <row r="52" spans="1:9" ht="13" customHeight="1" x14ac:dyDescent="0.35">
      <c r="A52" s="1" t="s">
        <v>170</v>
      </c>
      <c r="B52" s="10" t="s">
        <v>171</v>
      </c>
      <c r="C52" s="11" t="s">
        <v>172</v>
      </c>
      <c r="D52" s="7" t="s">
        <v>75</v>
      </c>
      <c r="E52" s="12">
        <v>613923</v>
      </c>
      <c r="F52" s="13">
        <v>6316.04</v>
      </c>
      <c r="G52" s="13">
        <v>0.81</v>
      </c>
      <c r="H52" s="13"/>
      <c r="I52" s="14"/>
    </row>
    <row r="53" spans="1:9" ht="13" customHeight="1" x14ac:dyDescent="0.35">
      <c r="A53" s="1" t="s">
        <v>173</v>
      </c>
      <c r="B53" s="10" t="s">
        <v>174</v>
      </c>
      <c r="C53" s="11" t="s">
        <v>175</v>
      </c>
      <c r="D53" s="7" t="s">
        <v>75</v>
      </c>
      <c r="E53" s="12">
        <v>537227</v>
      </c>
      <c r="F53" s="13">
        <v>5105</v>
      </c>
      <c r="G53" s="13">
        <v>0.65</v>
      </c>
      <c r="H53" s="13"/>
      <c r="I53" s="14"/>
    </row>
    <row r="54" spans="1:9" ht="13" customHeight="1" x14ac:dyDescent="0.35">
      <c r="A54" s="2"/>
      <c r="B54" s="6" t="s">
        <v>176</v>
      </c>
      <c r="C54" s="7"/>
      <c r="D54" s="7"/>
      <c r="E54" s="7"/>
      <c r="F54" s="15">
        <v>737666.19</v>
      </c>
      <c r="G54" s="15">
        <v>94.08</v>
      </c>
      <c r="H54" s="15"/>
      <c r="I54" s="14"/>
    </row>
    <row r="55" spans="1:9" ht="13" customHeight="1" x14ac:dyDescent="0.35">
      <c r="A55" s="2"/>
      <c r="B55" s="16" t="s">
        <v>177</v>
      </c>
      <c r="C55" s="17"/>
      <c r="D55" s="17"/>
      <c r="E55" s="18"/>
      <c r="F55" s="19" t="s">
        <v>178</v>
      </c>
      <c r="G55" s="19" t="s">
        <v>178</v>
      </c>
      <c r="H55" s="19" t="s">
        <v>178</v>
      </c>
      <c r="I55" s="20"/>
    </row>
    <row r="56" spans="1:9" ht="13" customHeight="1" x14ac:dyDescent="0.35">
      <c r="A56" s="2"/>
      <c r="B56" s="21" t="s">
        <v>176</v>
      </c>
      <c r="C56" s="22"/>
      <c r="D56" s="22"/>
      <c r="E56" s="19"/>
      <c r="F56" s="19" t="s">
        <v>178</v>
      </c>
      <c r="G56" s="19" t="s">
        <v>178</v>
      </c>
      <c r="H56" s="20" t="s">
        <v>178</v>
      </c>
      <c r="I56" s="20"/>
    </row>
    <row r="57" spans="1:9" ht="13" customHeight="1" x14ac:dyDescent="0.35">
      <c r="A57" s="2"/>
      <c r="B57" s="16" t="s">
        <v>179</v>
      </c>
      <c r="C57" s="17"/>
      <c r="D57" s="17"/>
      <c r="E57" s="23"/>
      <c r="F57" s="15">
        <v>737666.19</v>
      </c>
      <c r="G57" s="15">
        <v>94.08</v>
      </c>
      <c r="H57" s="20"/>
      <c r="I57" s="20"/>
    </row>
    <row r="58" spans="1:9" ht="13" customHeight="1" x14ac:dyDescent="0.35">
      <c r="A58" s="2"/>
      <c r="B58" s="6" t="s">
        <v>180</v>
      </c>
      <c r="C58" s="7"/>
      <c r="D58" s="7"/>
      <c r="E58" s="7"/>
      <c r="F58" s="7"/>
      <c r="G58" s="7"/>
      <c r="H58" s="8"/>
      <c r="I58" s="8"/>
    </row>
    <row r="59" spans="1:9" ht="13" customHeight="1" x14ac:dyDescent="0.35">
      <c r="A59" s="2"/>
      <c r="B59" s="6" t="s">
        <v>181</v>
      </c>
      <c r="C59" s="9"/>
      <c r="D59" s="9"/>
      <c r="E59" s="7"/>
      <c r="F59" s="7"/>
      <c r="G59" s="7"/>
      <c r="H59" s="8"/>
      <c r="I59" s="8"/>
    </row>
    <row r="60" spans="1:9" ht="13" customHeight="1" x14ac:dyDescent="0.35">
      <c r="A60" s="1" t="s">
        <v>182</v>
      </c>
      <c r="B60" s="10" t="s">
        <v>582</v>
      </c>
      <c r="C60" s="11" t="s">
        <v>183</v>
      </c>
      <c r="D60" s="7" t="s">
        <v>184</v>
      </c>
      <c r="E60" s="12">
        <v>500000</v>
      </c>
      <c r="F60" s="13">
        <v>496.94</v>
      </c>
      <c r="G60" s="13">
        <v>0.06</v>
      </c>
      <c r="H60" s="24">
        <v>6.2400999999999998E-2</v>
      </c>
      <c r="I60" s="24"/>
    </row>
    <row r="61" spans="1:9" ht="13" customHeight="1" x14ac:dyDescent="0.35">
      <c r="A61" s="2"/>
      <c r="B61" s="6" t="s">
        <v>176</v>
      </c>
      <c r="C61" s="7"/>
      <c r="D61" s="7"/>
      <c r="E61" s="7"/>
      <c r="F61" s="15">
        <v>496.94</v>
      </c>
      <c r="G61" s="15">
        <v>0.06</v>
      </c>
      <c r="H61" s="14"/>
      <c r="I61" s="14"/>
    </row>
    <row r="62" spans="1:9" ht="13" customHeight="1" x14ac:dyDescent="0.35">
      <c r="A62" s="2"/>
      <c r="B62" s="6" t="s">
        <v>185</v>
      </c>
      <c r="C62" s="9"/>
      <c r="D62" s="9"/>
      <c r="E62" s="7"/>
      <c r="F62" s="7"/>
      <c r="G62" s="7"/>
      <c r="H62" s="8"/>
      <c r="I62" s="8"/>
    </row>
    <row r="63" spans="1:9" ht="13" customHeight="1" x14ac:dyDescent="0.35">
      <c r="A63" s="1" t="s">
        <v>186</v>
      </c>
      <c r="B63" s="10" t="s">
        <v>583</v>
      </c>
      <c r="C63" s="11" t="s">
        <v>187</v>
      </c>
      <c r="D63" s="7" t="s">
        <v>184</v>
      </c>
      <c r="E63" s="12">
        <v>1000000</v>
      </c>
      <c r="F63" s="13">
        <v>993.9</v>
      </c>
      <c r="G63" s="13">
        <v>0.13</v>
      </c>
      <c r="H63" s="24">
        <v>6.2252000000000002E-2</v>
      </c>
      <c r="I63" s="24"/>
    </row>
    <row r="64" spans="1:9" ht="13" customHeight="1" x14ac:dyDescent="0.35">
      <c r="A64" s="2"/>
      <c r="B64" s="6" t="s">
        <v>176</v>
      </c>
      <c r="C64" s="7"/>
      <c r="D64" s="7"/>
      <c r="E64" s="7"/>
      <c r="F64" s="15">
        <v>993.9</v>
      </c>
      <c r="G64" s="15">
        <v>0.13</v>
      </c>
      <c r="H64" s="14"/>
      <c r="I64" s="14"/>
    </row>
    <row r="65" spans="1:13" ht="13" customHeight="1" x14ac:dyDescent="0.35">
      <c r="A65" s="2"/>
      <c r="B65" s="6" t="s">
        <v>188</v>
      </c>
      <c r="C65" s="9"/>
      <c r="D65" s="9"/>
      <c r="E65" s="7"/>
      <c r="F65" s="7"/>
      <c r="G65" s="7"/>
      <c r="H65" s="8"/>
      <c r="I65" s="8"/>
    </row>
    <row r="66" spans="1:13" ht="13" customHeight="1" x14ac:dyDescent="0.35">
      <c r="A66" s="1" t="s">
        <v>189</v>
      </c>
      <c r="B66" s="10" t="s">
        <v>190</v>
      </c>
      <c r="C66" s="11"/>
      <c r="D66" s="7"/>
      <c r="E66" s="12"/>
      <c r="F66" s="13">
        <v>47862.63</v>
      </c>
      <c r="G66" s="13">
        <v>6.1</v>
      </c>
      <c r="H66" s="24">
        <v>5.081409527320023E-2</v>
      </c>
      <c r="I66" s="24"/>
    </row>
    <row r="67" spans="1:13" ht="13" customHeight="1" x14ac:dyDescent="0.35">
      <c r="A67" s="2"/>
      <c r="B67" s="6" t="s">
        <v>176</v>
      </c>
      <c r="C67" s="7"/>
      <c r="D67" s="7"/>
      <c r="E67" s="7"/>
      <c r="F67" s="15">
        <v>47862.63</v>
      </c>
      <c r="G67" s="15">
        <v>6.1</v>
      </c>
      <c r="H67" s="14"/>
      <c r="I67" s="14"/>
    </row>
    <row r="68" spans="1:13" ht="13" customHeight="1" x14ac:dyDescent="0.35">
      <c r="A68" s="2"/>
      <c r="B68" s="16" t="s">
        <v>179</v>
      </c>
      <c r="C68" s="17"/>
      <c r="D68" s="17"/>
      <c r="E68" s="23"/>
      <c r="F68" s="15">
        <v>49353.47</v>
      </c>
      <c r="G68" s="15">
        <v>6.29</v>
      </c>
      <c r="H68" s="20"/>
      <c r="I68" s="20"/>
    </row>
    <row r="69" spans="1:13" ht="13" customHeight="1" x14ac:dyDescent="0.35">
      <c r="A69" s="2"/>
      <c r="B69" s="16" t="s">
        <v>191</v>
      </c>
      <c r="C69" s="17"/>
      <c r="D69" s="17"/>
      <c r="E69" s="7"/>
      <c r="F69" s="15">
        <v>-2632.25</v>
      </c>
      <c r="G69" s="15">
        <v>-0.37</v>
      </c>
      <c r="H69" s="20"/>
      <c r="I69" s="20"/>
    </row>
    <row r="70" spans="1:13" ht="13" customHeight="1" x14ac:dyDescent="0.35">
      <c r="A70" s="2"/>
      <c r="B70" s="25" t="s">
        <v>192</v>
      </c>
      <c r="C70" s="26"/>
      <c r="D70" s="26"/>
      <c r="E70" s="26"/>
      <c r="F70" s="27">
        <v>784387.41</v>
      </c>
      <c r="G70" s="28">
        <v>100</v>
      </c>
      <c r="H70" s="29"/>
      <c r="I70" s="29"/>
    </row>
    <row r="71" spans="1:13" ht="13" customHeight="1" x14ac:dyDescent="0.35">
      <c r="A71" s="2"/>
      <c r="B71" s="73"/>
      <c r="C71" s="73"/>
      <c r="D71" s="73"/>
      <c r="E71" s="73"/>
      <c r="F71" s="2"/>
      <c r="G71" s="2"/>
      <c r="H71" s="2"/>
      <c r="I71" s="2"/>
    </row>
    <row r="72" spans="1:13" ht="13" customHeight="1" x14ac:dyDescent="0.35">
      <c r="A72" s="44"/>
      <c r="B72" s="73" t="s">
        <v>193</v>
      </c>
      <c r="C72" s="73"/>
      <c r="D72" s="73"/>
      <c r="E72" s="73"/>
      <c r="F72" s="44"/>
      <c r="G72" s="44"/>
      <c r="H72" s="44"/>
      <c r="I72" s="44"/>
      <c r="J72" s="44"/>
      <c r="K72" s="44"/>
      <c r="L72" s="44"/>
      <c r="M72" s="44"/>
    </row>
    <row r="73" spans="1:13" ht="13" customHeight="1" x14ac:dyDescent="0.35">
      <c r="A73" s="44"/>
      <c r="B73" s="73" t="s">
        <v>572</v>
      </c>
      <c r="C73" s="73"/>
      <c r="D73" s="73"/>
      <c r="E73" s="73"/>
      <c r="F73" s="44"/>
      <c r="G73" s="44"/>
      <c r="H73" s="44"/>
      <c r="I73" s="44"/>
      <c r="J73" s="44"/>
      <c r="K73" s="44"/>
      <c r="L73" s="44"/>
      <c r="M73" s="44"/>
    </row>
    <row r="74" spans="1:13" ht="13" customHeight="1" x14ac:dyDescent="0.35">
      <c r="A74" s="44"/>
      <c r="B74" s="45" t="s">
        <v>526</v>
      </c>
      <c r="C74" s="46"/>
      <c r="D74" s="46"/>
      <c r="E74" s="46"/>
      <c r="F74" s="44"/>
      <c r="G74" s="44"/>
      <c r="H74" s="44"/>
      <c r="I74" s="44"/>
      <c r="J74" s="44"/>
      <c r="K74" s="44"/>
      <c r="L74" s="44"/>
      <c r="M74" s="44"/>
    </row>
    <row r="75" spans="1:13" ht="13" customHeight="1" x14ac:dyDescent="0.35">
      <c r="A75" s="44"/>
      <c r="B75" s="75"/>
      <c r="C75" s="75"/>
      <c r="D75" s="75"/>
      <c r="E75" s="75"/>
      <c r="F75" s="44"/>
      <c r="G75" s="44"/>
      <c r="H75" s="44"/>
      <c r="I75" s="44"/>
      <c r="J75" s="44"/>
      <c r="K75" s="44"/>
      <c r="L75" s="44"/>
      <c r="M75" s="44"/>
    </row>
    <row r="76" spans="1:13" ht="13" customHeight="1" x14ac:dyDescent="0.35">
      <c r="A76" s="44"/>
      <c r="B76" s="30" t="s">
        <v>195</v>
      </c>
      <c r="C76" s="48"/>
      <c r="D76" s="48"/>
      <c r="E76" s="48"/>
      <c r="F76" s="44"/>
      <c r="G76" s="44"/>
      <c r="H76" s="44"/>
      <c r="I76" s="44"/>
      <c r="J76" s="44"/>
      <c r="K76" s="44"/>
      <c r="L76" s="44"/>
      <c r="M76" s="44"/>
    </row>
    <row r="77" spans="1:13" ht="13" customHeight="1" x14ac:dyDescent="0.35">
      <c r="A77" s="44"/>
      <c r="B77" s="49" t="s">
        <v>556</v>
      </c>
      <c r="C77" s="50"/>
      <c r="D77" s="50"/>
      <c r="E77" s="50"/>
      <c r="F77" s="44"/>
      <c r="G77" s="44"/>
      <c r="H77" s="44"/>
      <c r="I77" s="44"/>
      <c r="J77" s="44"/>
      <c r="K77" s="44"/>
      <c r="L77" s="44"/>
      <c r="M77" s="44"/>
    </row>
    <row r="78" spans="1:13" ht="13" customHeight="1" x14ac:dyDescent="0.35">
      <c r="A78" s="44"/>
      <c r="B78" s="49" t="s">
        <v>527</v>
      </c>
      <c r="C78" s="50"/>
      <c r="D78" s="50"/>
      <c r="E78" s="50"/>
      <c r="F78" s="44"/>
      <c r="G78" s="44"/>
      <c r="H78" s="44"/>
      <c r="I78" s="44"/>
      <c r="J78" s="44"/>
      <c r="K78" s="44"/>
      <c r="L78" s="44"/>
      <c r="M78" s="44"/>
    </row>
    <row r="79" spans="1:13" ht="13" customHeight="1" x14ac:dyDescent="0.35">
      <c r="A79" s="44"/>
      <c r="B79" s="51" t="s">
        <v>528</v>
      </c>
      <c r="C79" s="50"/>
      <c r="D79" s="50"/>
      <c r="E79" s="50"/>
      <c r="F79" s="44"/>
      <c r="G79" s="44"/>
      <c r="H79" s="44"/>
      <c r="I79" s="44"/>
      <c r="J79" s="44"/>
      <c r="K79" s="44"/>
      <c r="L79" s="44"/>
      <c r="M79" s="44"/>
    </row>
    <row r="80" spans="1:13" ht="13" customHeight="1" x14ac:dyDescent="0.35">
      <c r="A80" s="44"/>
      <c r="B80" s="30" t="s">
        <v>529</v>
      </c>
      <c r="C80" s="52" t="s">
        <v>557</v>
      </c>
      <c r="D80" s="52" t="s">
        <v>530</v>
      </c>
      <c r="E80" s="44"/>
      <c r="F80" s="44"/>
      <c r="G80" s="44"/>
      <c r="H80" s="44"/>
      <c r="I80" s="44"/>
      <c r="J80" s="44"/>
      <c r="K80" s="44"/>
      <c r="L80" s="44"/>
      <c r="M80" s="44"/>
    </row>
    <row r="81" spans="1:13" ht="13" customHeight="1" x14ac:dyDescent="0.35">
      <c r="A81" s="44"/>
      <c r="B81" s="47" t="s">
        <v>566</v>
      </c>
      <c r="C81" s="53">
        <v>10.875</v>
      </c>
      <c r="D81" s="53">
        <v>11.488</v>
      </c>
      <c r="E81" s="53"/>
      <c r="F81" s="44"/>
      <c r="G81" s="44"/>
      <c r="H81" s="44"/>
      <c r="I81" s="44"/>
      <c r="J81" s="44"/>
      <c r="K81" s="44"/>
      <c r="L81" s="44"/>
      <c r="M81" s="44"/>
    </row>
    <row r="82" spans="1:13" ht="13" customHeight="1" x14ac:dyDescent="0.35">
      <c r="A82" s="44"/>
      <c r="B82" s="47" t="s">
        <v>531</v>
      </c>
      <c r="C82" s="53">
        <v>10.87</v>
      </c>
      <c r="D82" s="53">
        <v>11.483000000000001</v>
      </c>
      <c r="E82" s="53"/>
      <c r="F82" s="44"/>
      <c r="G82" s="44"/>
      <c r="H82" s="44"/>
      <c r="I82" s="44"/>
      <c r="J82" s="44"/>
      <c r="K82" s="44"/>
      <c r="L82" s="44"/>
      <c r="M82" s="44"/>
    </row>
    <row r="83" spans="1:13" x14ac:dyDescent="0.35">
      <c r="B83" s="47" t="s">
        <v>567</v>
      </c>
      <c r="C83" s="53">
        <v>10.756</v>
      </c>
      <c r="D83" s="53">
        <v>11.375</v>
      </c>
      <c r="E83" s="53"/>
      <c r="F83" s="44"/>
      <c r="G83" s="44"/>
      <c r="H83" s="44"/>
      <c r="I83" s="44"/>
      <c r="J83" s="44"/>
      <c r="K83" s="44"/>
      <c r="L83" s="44"/>
      <c r="M83" s="44"/>
    </row>
    <row r="84" spans="1:13" x14ac:dyDescent="0.35">
      <c r="B84" s="47" t="s">
        <v>534</v>
      </c>
      <c r="C84" s="53">
        <v>10.756</v>
      </c>
      <c r="D84" s="53">
        <v>11.375</v>
      </c>
      <c r="E84" s="53"/>
      <c r="F84" s="44"/>
      <c r="G84" s="44"/>
      <c r="H84" s="44"/>
      <c r="I84" s="44"/>
      <c r="J84" s="44"/>
      <c r="K84" s="44"/>
      <c r="L84" s="44"/>
      <c r="M84" s="44"/>
    </row>
    <row r="85" spans="1:13" x14ac:dyDescent="0.35">
      <c r="B85" s="76" t="s">
        <v>568</v>
      </c>
      <c r="C85" s="76"/>
      <c r="D85" s="76"/>
      <c r="E85" s="76"/>
      <c r="F85" s="44"/>
      <c r="G85" s="44"/>
      <c r="H85" s="44"/>
      <c r="I85" s="44"/>
      <c r="J85" s="44"/>
      <c r="K85" s="44"/>
      <c r="L85" s="44"/>
      <c r="M85" s="44"/>
    </row>
    <row r="86" spans="1:13" x14ac:dyDescent="0.35">
      <c r="B86" s="78" t="s">
        <v>573</v>
      </c>
      <c r="C86" s="78"/>
      <c r="D86" s="78"/>
      <c r="E86" s="78"/>
      <c r="F86" s="44"/>
      <c r="G86" s="44"/>
      <c r="H86" s="44"/>
      <c r="I86" s="44"/>
      <c r="J86" s="44"/>
      <c r="K86" s="44"/>
      <c r="L86" s="44"/>
      <c r="M86" s="44"/>
    </row>
    <row r="87" spans="1:13" x14ac:dyDescent="0.35">
      <c r="B87" s="78" t="s">
        <v>574</v>
      </c>
      <c r="C87" s="78"/>
      <c r="D87" s="78"/>
      <c r="E87" s="78"/>
      <c r="F87" s="44"/>
      <c r="G87" s="44"/>
      <c r="H87" s="44"/>
      <c r="I87" s="44"/>
      <c r="J87" s="44"/>
      <c r="K87" s="44"/>
      <c r="L87" s="44"/>
      <c r="M87" s="44"/>
    </row>
    <row r="88" spans="1:13" x14ac:dyDescent="0.35">
      <c r="B88" s="78" t="s">
        <v>569</v>
      </c>
      <c r="C88" s="78"/>
      <c r="D88" s="78"/>
      <c r="E88" s="78"/>
      <c r="F88" s="44"/>
      <c r="G88" s="44"/>
      <c r="H88" s="44"/>
      <c r="I88" s="44"/>
      <c r="J88" s="44"/>
      <c r="K88" s="44"/>
      <c r="L88" s="44"/>
      <c r="M88" s="44"/>
    </row>
    <row r="89" spans="1:13" x14ac:dyDescent="0.35">
      <c r="B89" s="55" t="s">
        <v>575</v>
      </c>
      <c r="C89" s="56"/>
      <c r="D89" s="56"/>
      <c r="E89" s="54"/>
      <c r="F89" s="44"/>
      <c r="G89" s="44"/>
      <c r="H89" s="44"/>
      <c r="I89" s="44"/>
      <c r="J89" s="44"/>
      <c r="K89" s="44"/>
      <c r="L89" s="44"/>
      <c r="M89" s="44"/>
    </row>
    <row r="90" spans="1:13" x14ac:dyDescent="0.35">
      <c r="B90" s="77" t="s">
        <v>576</v>
      </c>
      <c r="C90" s="77"/>
      <c r="D90" s="77"/>
      <c r="E90" s="54"/>
      <c r="F90" s="44"/>
      <c r="G90" s="44"/>
      <c r="H90" s="44"/>
      <c r="I90" s="44"/>
      <c r="J90" s="44"/>
      <c r="K90" s="44"/>
      <c r="L90" s="44"/>
      <c r="M90" s="44"/>
    </row>
    <row r="91" spans="1:13" x14ac:dyDescent="0.35">
      <c r="B91" s="77" t="s">
        <v>548</v>
      </c>
      <c r="C91" s="77"/>
      <c r="D91" s="77"/>
      <c r="F91" s="44"/>
      <c r="G91" s="44"/>
      <c r="H91" s="44"/>
      <c r="I91" s="44"/>
      <c r="J91" s="44"/>
      <c r="K91" s="44"/>
      <c r="L91" s="44"/>
      <c r="M91" s="44"/>
    </row>
    <row r="92" spans="1:13" x14ac:dyDescent="0.35">
      <c r="B92" s="77" t="s">
        <v>570</v>
      </c>
      <c r="C92" s="77"/>
      <c r="D92" s="77"/>
      <c r="L92" s="44"/>
    </row>
    <row r="93" spans="1:13" x14ac:dyDescent="0.35">
      <c r="B93" s="77" t="s">
        <v>550</v>
      </c>
      <c r="C93" s="77"/>
      <c r="D93" s="77"/>
      <c r="L93" s="44"/>
    </row>
    <row r="94" spans="1:13" x14ac:dyDescent="0.35">
      <c r="B94" s="57" t="s">
        <v>577</v>
      </c>
      <c r="L94" s="44"/>
    </row>
    <row r="95" spans="1:13" x14ac:dyDescent="0.35">
      <c r="B95" t="s">
        <v>571</v>
      </c>
      <c r="L95" s="44"/>
    </row>
    <row r="96" spans="1:13" x14ac:dyDescent="0.35">
      <c r="B96" t="s">
        <v>551</v>
      </c>
      <c r="L96" s="44"/>
    </row>
    <row r="97" spans="2:12" x14ac:dyDescent="0.35">
      <c r="B97" t="s">
        <v>552</v>
      </c>
      <c r="L97" s="44"/>
    </row>
    <row r="100" spans="2:12" x14ac:dyDescent="0.35">
      <c r="B100" s="74" t="s">
        <v>615</v>
      </c>
    </row>
    <row r="101" spans="2:12" x14ac:dyDescent="0.35">
      <c r="B101" s="74"/>
    </row>
    <row r="102" spans="2:12" x14ac:dyDescent="0.35">
      <c r="B102" s="74"/>
    </row>
    <row r="103" spans="2:12" x14ac:dyDescent="0.35">
      <c r="B103" s="74"/>
    </row>
    <row r="104" spans="2:12" x14ac:dyDescent="0.35">
      <c r="B104" s="74"/>
    </row>
    <row r="105" spans="2:12" x14ac:dyDescent="0.35">
      <c r="B105" s="57"/>
    </row>
    <row r="106" spans="2:12" x14ac:dyDescent="0.35">
      <c r="B106" s="63" t="s">
        <v>616</v>
      </c>
    </row>
    <row r="119" spans="2:2" x14ac:dyDescent="0.35">
      <c r="B119" s="63" t="s">
        <v>617</v>
      </c>
    </row>
    <row r="120" spans="2:2" x14ac:dyDescent="0.35">
      <c r="B120" s="63" t="s">
        <v>618</v>
      </c>
    </row>
  </sheetData>
  <mergeCells count="17">
    <mergeCell ref="B100:B104"/>
    <mergeCell ref="B75:E75"/>
    <mergeCell ref="B85:E85"/>
    <mergeCell ref="B72:E72"/>
    <mergeCell ref="B73:E73"/>
    <mergeCell ref="B92:D92"/>
    <mergeCell ref="B93:D93"/>
    <mergeCell ref="B86:E86"/>
    <mergeCell ref="B87:E87"/>
    <mergeCell ref="B88:E88"/>
    <mergeCell ref="B90:D90"/>
    <mergeCell ref="B91:D91"/>
    <mergeCell ref="B1:I1"/>
    <mergeCell ref="B3:I3"/>
    <mergeCell ref="B2:I2"/>
    <mergeCell ref="B4:I4"/>
    <mergeCell ref="B71:E71"/>
  </mergeCells>
  <pageMargins left="0" right="0" top="0" bottom="0" header="0" footer="0"/>
  <pageSetup orientation="portrait"/>
  <headerFooter>
    <oddFooter xml:space="preserve">&amp;C_x000D_&amp;1#&amp;"Aptos"&amp;10&amp;K000000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M148"/>
  <sheetViews>
    <sheetView showGridLines="0" topLeftCell="B1" zoomScaleNormal="100" workbookViewId="0">
      <selection activeCell="B1" sqref="B1:I1"/>
    </sheetView>
  </sheetViews>
  <sheetFormatPr defaultRowHeight="14.5" x14ac:dyDescent="0.35"/>
  <cols>
    <col min="1" max="1" width="3.36328125" customWidth="1"/>
    <col min="2" max="2" width="49.54296875" customWidth="1"/>
    <col min="3" max="4" width="25" customWidth="1"/>
    <col min="5" max="5" width="20" customWidth="1"/>
    <col min="6" max="6" width="25" customWidth="1"/>
    <col min="7" max="9" width="20" customWidth="1"/>
  </cols>
  <sheetData>
    <row r="1" spans="1:9" ht="20" customHeight="1" x14ac:dyDescent="0.35">
      <c r="A1" s="1" t="s">
        <v>196</v>
      </c>
      <c r="B1" s="70" t="s">
        <v>1</v>
      </c>
      <c r="C1" s="70"/>
      <c r="D1" s="70"/>
      <c r="E1" s="70"/>
      <c r="F1" s="70"/>
      <c r="G1" s="70"/>
      <c r="H1" s="71"/>
      <c r="I1" s="70"/>
    </row>
    <row r="2" spans="1:9" ht="20" x14ac:dyDescent="0.35">
      <c r="A2" s="2"/>
      <c r="B2" s="70" t="s">
        <v>562</v>
      </c>
      <c r="C2" s="70"/>
      <c r="D2" s="70"/>
      <c r="E2" s="70"/>
      <c r="F2" s="70"/>
      <c r="G2" s="70"/>
      <c r="H2" s="71"/>
      <c r="I2" s="70"/>
    </row>
    <row r="3" spans="1:9" ht="20" customHeight="1" x14ac:dyDescent="0.35">
      <c r="A3" s="2"/>
      <c r="B3" s="70" t="s">
        <v>2</v>
      </c>
      <c r="C3" s="70"/>
      <c r="D3" s="70"/>
      <c r="E3" s="70"/>
      <c r="F3" s="70"/>
      <c r="G3" s="70"/>
      <c r="H3" s="71"/>
      <c r="I3" s="70"/>
    </row>
    <row r="4" spans="1:9" ht="13" customHeight="1" x14ac:dyDescent="0.35">
      <c r="A4" s="2"/>
      <c r="B4" s="72"/>
      <c r="C4" s="72"/>
      <c r="D4" s="72"/>
      <c r="E4" s="72"/>
      <c r="F4" s="72"/>
      <c r="G4" s="72"/>
      <c r="H4" s="72"/>
      <c r="I4" s="72"/>
    </row>
    <row r="5" spans="1:9" ht="28" customHeight="1" x14ac:dyDescent="0.35">
      <c r="A5" s="2"/>
      <c r="B5" s="3" t="s">
        <v>3</v>
      </c>
      <c r="C5" s="4" t="s">
        <v>4</v>
      </c>
      <c r="D5" s="4" t="s">
        <v>197</v>
      </c>
      <c r="E5" s="4" t="s">
        <v>6</v>
      </c>
      <c r="F5" s="4" t="s">
        <v>7</v>
      </c>
      <c r="G5" s="4" t="s">
        <v>8</v>
      </c>
      <c r="H5" s="5" t="s">
        <v>9</v>
      </c>
      <c r="I5" s="5" t="s">
        <v>610</v>
      </c>
    </row>
    <row r="6" spans="1:9" ht="13" customHeight="1" x14ac:dyDescent="0.35">
      <c r="A6" s="2"/>
      <c r="B6" s="6" t="s">
        <v>198</v>
      </c>
      <c r="C6" s="7"/>
      <c r="D6" s="7"/>
      <c r="E6" s="7"/>
      <c r="F6" s="7"/>
      <c r="G6" s="7"/>
      <c r="H6" s="8"/>
      <c r="I6" s="8"/>
    </row>
    <row r="7" spans="1:9" ht="13" customHeight="1" x14ac:dyDescent="0.35">
      <c r="A7" s="2"/>
      <c r="B7" s="6" t="s">
        <v>11</v>
      </c>
      <c r="C7" s="9"/>
      <c r="D7" s="9"/>
      <c r="E7" s="7"/>
      <c r="F7" s="7"/>
      <c r="G7" s="7"/>
      <c r="H7" s="8"/>
      <c r="I7" s="8"/>
    </row>
    <row r="8" spans="1:9" ht="13" customHeight="1" x14ac:dyDescent="0.35">
      <c r="A8" s="1" t="s">
        <v>199</v>
      </c>
      <c r="B8" s="10" t="s">
        <v>584</v>
      </c>
      <c r="C8" s="11" t="s">
        <v>200</v>
      </c>
      <c r="D8" s="7" t="s">
        <v>201</v>
      </c>
      <c r="E8" s="12">
        <v>2000000</v>
      </c>
      <c r="F8" s="13">
        <v>2000.65</v>
      </c>
      <c r="G8" s="13">
        <v>3.24</v>
      </c>
      <c r="H8" s="24">
        <v>6.1789999999999998E-2</v>
      </c>
      <c r="I8" s="24"/>
    </row>
    <row r="9" spans="1:9" ht="13" customHeight="1" x14ac:dyDescent="0.35">
      <c r="A9" s="1" t="s">
        <v>202</v>
      </c>
      <c r="B9" s="10" t="s">
        <v>585</v>
      </c>
      <c r="C9" s="11" t="s">
        <v>203</v>
      </c>
      <c r="D9" s="7" t="s">
        <v>201</v>
      </c>
      <c r="E9" s="12">
        <v>1000000</v>
      </c>
      <c r="F9" s="13">
        <v>1002</v>
      </c>
      <c r="G9" s="13">
        <v>1.62</v>
      </c>
      <c r="H9" s="24">
        <v>6.3787999999999997E-2</v>
      </c>
      <c r="I9" s="24"/>
    </row>
    <row r="10" spans="1:9" ht="13" customHeight="1" x14ac:dyDescent="0.35">
      <c r="A10" s="1" t="s">
        <v>204</v>
      </c>
      <c r="B10" s="10" t="s">
        <v>586</v>
      </c>
      <c r="C10" s="11" t="s">
        <v>205</v>
      </c>
      <c r="D10" s="7" t="s">
        <v>206</v>
      </c>
      <c r="E10" s="12">
        <v>500000</v>
      </c>
      <c r="F10" s="13">
        <v>500.15</v>
      </c>
      <c r="G10" s="13">
        <v>0.81</v>
      </c>
      <c r="H10" s="24">
        <v>5.3348E-2</v>
      </c>
      <c r="I10" s="24"/>
    </row>
    <row r="11" spans="1:9" ht="13" customHeight="1" x14ac:dyDescent="0.35">
      <c r="A11" s="2"/>
      <c r="B11" s="6" t="s">
        <v>176</v>
      </c>
      <c r="C11" s="7"/>
      <c r="D11" s="7"/>
      <c r="E11" s="7"/>
      <c r="F11" s="15">
        <v>3502.8</v>
      </c>
      <c r="G11" s="15">
        <v>5.67</v>
      </c>
      <c r="H11" s="14"/>
      <c r="I11" s="14"/>
    </row>
    <row r="12" spans="1:9" ht="13" customHeight="1" x14ac:dyDescent="0.35">
      <c r="A12" s="2"/>
      <c r="B12" s="16" t="s">
        <v>207</v>
      </c>
      <c r="C12" s="17"/>
      <c r="D12" s="17"/>
      <c r="E12" s="18"/>
      <c r="F12" s="19" t="s">
        <v>178</v>
      </c>
      <c r="G12" s="19" t="s">
        <v>178</v>
      </c>
      <c r="H12" s="20" t="s">
        <v>178</v>
      </c>
      <c r="I12" s="20"/>
    </row>
    <row r="13" spans="1:9" ht="13" customHeight="1" x14ac:dyDescent="0.35">
      <c r="A13" s="2"/>
      <c r="B13" s="21" t="s">
        <v>176</v>
      </c>
      <c r="C13" s="22"/>
      <c r="D13" s="22"/>
      <c r="E13" s="19"/>
      <c r="F13" s="19" t="s">
        <v>178</v>
      </c>
      <c r="G13" s="19" t="s">
        <v>178</v>
      </c>
      <c r="H13" s="20" t="s">
        <v>178</v>
      </c>
      <c r="I13" s="20"/>
    </row>
    <row r="14" spans="1:9" ht="13" customHeight="1" x14ac:dyDescent="0.35">
      <c r="A14" s="2"/>
      <c r="B14" s="16" t="s">
        <v>179</v>
      </c>
      <c r="C14" s="17"/>
      <c r="D14" s="17"/>
      <c r="E14" s="23"/>
      <c r="F14" s="15">
        <v>3502.8</v>
      </c>
      <c r="G14" s="15">
        <v>5.67</v>
      </c>
      <c r="H14" s="20"/>
      <c r="I14" s="20"/>
    </row>
    <row r="15" spans="1:9" ht="13" customHeight="1" x14ac:dyDescent="0.35">
      <c r="A15" s="2"/>
      <c r="B15" s="6" t="s">
        <v>180</v>
      </c>
      <c r="C15" s="7"/>
      <c r="D15" s="7"/>
      <c r="E15" s="7"/>
      <c r="F15" s="7"/>
      <c r="G15" s="7"/>
      <c r="H15" s="8"/>
      <c r="I15" s="8"/>
    </row>
    <row r="16" spans="1:9" ht="13" customHeight="1" x14ac:dyDescent="0.35">
      <c r="A16" s="2"/>
      <c r="B16" s="6" t="s">
        <v>208</v>
      </c>
      <c r="C16" s="9"/>
      <c r="D16" s="9"/>
      <c r="E16" s="7"/>
      <c r="F16" s="7"/>
      <c r="G16" s="7"/>
      <c r="H16" s="8"/>
      <c r="I16" s="8"/>
    </row>
    <row r="17" spans="1:9" ht="13" customHeight="1" x14ac:dyDescent="0.35">
      <c r="A17" s="1" t="s">
        <v>209</v>
      </c>
      <c r="B17" s="10" t="s">
        <v>210</v>
      </c>
      <c r="C17" s="11" t="s">
        <v>211</v>
      </c>
      <c r="D17" s="7" t="s">
        <v>206</v>
      </c>
      <c r="E17" s="12">
        <v>2000000</v>
      </c>
      <c r="F17" s="13">
        <v>1996</v>
      </c>
      <c r="G17" s="13">
        <v>3.23</v>
      </c>
      <c r="H17" s="24">
        <v>5.2260000000000001E-2</v>
      </c>
      <c r="I17" s="24"/>
    </row>
    <row r="18" spans="1:9" ht="13" customHeight="1" x14ac:dyDescent="0.35">
      <c r="A18" s="1" t="s">
        <v>212</v>
      </c>
      <c r="B18" s="10" t="s">
        <v>213</v>
      </c>
      <c r="C18" s="11" t="s">
        <v>214</v>
      </c>
      <c r="D18" s="7" t="s">
        <v>206</v>
      </c>
      <c r="E18" s="12">
        <v>2000000</v>
      </c>
      <c r="F18" s="13">
        <v>1987.92</v>
      </c>
      <c r="G18" s="13">
        <v>3.22</v>
      </c>
      <c r="H18" s="24">
        <v>5.28E-2</v>
      </c>
      <c r="I18" s="24"/>
    </row>
    <row r="19" spans="1:9" ht="13" customHeight="1" x14ac:dyDescent="0.35">
      <c r="A19" s="1" t="s">
        <v>215</v>
      </c>
      <c r="B19" s="10" t="s">
        <v>216</v>
      </c>
      <c r="C19" s="11" t="s">
        <v>217</v>
      </c>
      <c r="D19" s="7" t="s">
        <v>206</v>
      </c>
      <c r="E19" s="12">
        <v>1500000</v>
      </c>
      <c r="F19" s="13">
        <v>1489.31</v>
      </c>
      <c r="G19" s="13">
        <v>2.41</v>
      </c>
      <c r="H19" s="24">
        <v>5.3459E-2</v>
      </c>
      <c r="I19" s="24"/>
    </row>
    <row r="20" spans="1:9" ht="13" customHeight="1" x14ac:dyDescent="0.35">
      <c r="A20" s="1" t="s">
        <v>218</v>
      </c>
      <c r="B20" s="10" t="s">
        <v>219</v>
      </c>
      <c r="C20" s="11" t="s">
        <v>220</v>
      </c>
      <c r="D20" s="7" t="s">
        <v>206</v>
      </c>
      <c r="E20" s="12">
        <v>1000000</v>
      </c>
      <c r="F20" s="13">
        <v>999</v>
      </c>
      <c r="G20" s="13">
        <v>1.62</v>
      </c>
      <c r="H20" s="24">
        <v>5.1999999999999998E-2</v>
      </c>
      <c r="I20" s="24"/>
    </row>
    <row r="21" spans="1:9" ht="13" customHeight="1" x14ac:dyDescent="0.35">
      <c r="A21" s="1" t="s">
        <v>221</v>
      </c>
      <c r="B21" s="10" t="s">
        <v>222</v>
      </c>
      <c r="C21" s="11" t="s">
        <v>223</v>
      </c>
      <c r="D21" s="7" t="s">
        <v>206</v>
      </c>
      <c r="E21" s="12">
        <v>1000000</v>
      </c>
      <c r="F21" s="13">
        <v>997.02</v>
      </c>
      <c r="G21" s="13">
        <v>1.62</v>
      </c>
      <c r="H21" s="24">
        <v>5.2028999999999999E-2</v>
      </c>
      <c r="I21" s="24"/>
    </row>
    <row r="22" spans="1:9" ht="13" customHeight="1" x14ac:dyDescent="0.35">
      <c r="A22" s="1" t="s">
        <v>224</v>
      </c>
      <c r="B22" s="10" t="s">
        <v>225</v>
      </c>
      <c r="C22" s="11" t="s">
        <v>226</v>
      </c>
      <c r="D22" s="7" t="s">
        <v>206</v>
      </c>
      <c r="E22" s="12">
        <v>500000</v>
      </c>
      <c r="F22" s="13">
        <v>498.45</v>
      </c>
      <c r="G22" s="13">
        <v>0.81</v>
      </c>
      <c r="H22" s="24">
        <v>5.1541999999999998E-2</v>
      </c>
      <c r="I22" s="24"/>
    </row>
    <row r="23" spans="1:9" ht="13" customHeight="1" x14ac:dyDescent="0.35">
      <c r="A23" s="2"/>
      <c r="B23" s="6" t="s">
        <v>176</v>
      </c>
      <c r="C23" s="7"/>
      <c r="D23" s="7"/>
      <c r="E23" s="7"/>
      <c r="F23" s="15">
        <v>7967.7</v>
      </c>
      <c r="G23" s="15">
        <v>12.91</v>
      </c>
      <c r="H23" s="14"/>
      <c r="I23" s="14"/>
    </row>
    <row r="24" spans="1:9" ht="13" customHeight="1" x14ac:dyDescent="0.35">
      <c r="A24" s="2"/>
      <c r="B24" s="6" t="s">
        <v>181</v>
      </c>
      <c r="C24" s="9"/>
      <c r="D24" s="9"/>
      <c r="E24" s="7"/>
      <c r="F24" s="7"/>
      <c r="G24" s="7"/>
      <c r="H24" s="8"/>
      <c r="I24" s="8"/>
    </row>
    <row r="25" spans="1:9" ht="13" customHeight="1" x14ac:dyDescent="0.35">
      <c r="A25" s="1" t="s">
        <v>227</v>
      </c>
      <c r="B25" s="10" t="s">
        <v>587</v>
      </c>
      <c r="C25" s="11" t="s">
        <v>228</v>
      </c>
      <c r="D25" s="7" t="s">
        <v>184</v>
      </c>
      <c r="E25" s="12">
        <v>2500000</v>
      </c>
      <c r="F25" s="13">
        <v>2489.63</v>
      </c>
      <c r="G25" s="13">
        <v>4.03</v>
      </c>
      <c r="H25" s="24">
        <v>5.8501999999999998E-2</v>
      </c>
      <c r="I25" s="24"/>
    </row>
    <row r="26" spans="1:9" ht="13" customHeight="1" x14ac:dyDescent="0.35">
      <c r="A26" s="1" t="s">
        <v>229</v>
      </c>
      <c r="B26" s="10" t="s">
        <v>588</v>
      </c>
      <c r="C26" s="11" t="s">
        <v>230</v>
      </c>
      <c r="D26" s="7" t="s">
        <v>231</v>
      </c>
      <c r="E26" s="12">
        <v>2500000</v>
      </c>
      <c r="F26" s="13">
        <v>2469.85</v>
      </c>
      <c r="G26" s="13">
        <v>4</v>
      </c>
      <c r="H26" s="24">
        <v>6.2769000000000005E-2</v>
      </c>
      <c r="I26" s="24"/>
    </row>
    <row r="27" spans="1:9" ht="13" customHeight="1" x14ac:dyDescent="0.35">
      <c r="A27" s="1" t="s">
        <v>232</v>
      </c>
      <c r="B27" s="10" t="s">
        <v>589</v>
      </c>
      <c r="C27" s="11" t="s">
        <v>233</v>
      </c>
      <c r="D27" s="7" t="s">
        <v>234</v>
      </c>
      <c r="E27" s="12">
        <v>2500000</v>
      </c>
      <c r="F27" s="13">
        <v>2467.2800000000002</v>
      </c>
      <c r="G27" s="13">
        <v>4</v>
      </c>
      <c r="H27" s="24">
        <v>6.3702999999999996E-2</v>
      </c>
      <c r="I27" s="24"/>
    </row>
    <row r="28" spans="1:9" ht="13" customHeight="1" x14ac:dyDescent="0.35">
      <c r="A28" s="1" t="s">
        <v>235</v>
      </c>
      <c r="B28" s="10" t="s">
        <v>590</v>
      </c>
      <c r="C28" s="11" t="s">
        <v>236</v>
      </c>
      <c r="D28" s="7" t="s">
        <v>184</v>
      </c>
      <c r="E28" s="12">
        <v>2500000</v>
      </c>
      <c r="F28" s="13">
        <v>2466.79</v>
      </c>
      <c r="G28" s="13">
        <v>4</v>
      </c>
      <c r="H28" s="24">
        <v>6.3E-2</v>
      </c>
      <c r="I28" s="24"/>
    </row>
    <row r="29" spans="1:9" ht="13" customHeight="1" x14ac:dyDescent="0.35">
      <c r="A29" s="1" t="s">
        <v>237</v>
      </c>
      <c r="B29" s="10" t="s">
        <v>605</v>
      </c>
      <c r="C29" s="11" t="s">
        <v>238</v>
      </c>
      <c r="D29" s="7" t="s">
        <v>184</v>
      </c>
      <c r="E29" s="12">
        <v>2500000</v>
      </c>
      <c r="F29" s="13">
        <v>2465.75</v>
      </c>
      <c r="G29" s="13">
        <v>4</v>
      </c>
      <c r="H29" s="24">
        <v>6.2600000000000003E-2</v>
      </c>
      <c r="I29" s="24"/>
    </row>
    <row r="30" spans="1:9" ht="13" customHeight="1" x14ac:dyDescent="0.35">
      <c r="A30" s="1" t="s">
        <v>239</v>
      </c>
      <c r="B30" s="10" t="s">
        <v>591</v>
      </c>
      <c r="C30" s="11" t="s">
        <v>240</v>
      </c>
      <c r="D30" s="7" t="s">
        <v>234</v>
      </c>
      <c r="E30" s="12">
        <v>2500000</v>
      </c>
      <c r="F30" s="13">
        <v>2465.52</v>
      </c>
      <c r="G30" s="13">
        <v>4</v>
      </c>
      <c r="H30" s="24">
        <v>6.3016000000000003E-2</v>
      </c>
      <c r="I30" s="24"/>
    </row>
    <row r="31" spans="1:9" ht="13" customHeight="1" x14ac:dyDescent="0.35">
      <c r="A31" s="1" t="s">
        <v>182</v>
      </c>
      <c r="B31" s="10" t="s">
        <v>582</v>
      </c>
      <c r="C31" s="11" t="s">
        <v>183</v>
      </c>
      <c r="D31" s="7" t="s">
        <v>184</v>
      </c>
      <c r="E31" s="12">
        <v>1500000</v>
      </c>
      <c r="F31" s="13">
        <v>1490.82</v>
      </c>
      <c r="G31" s="13">
        <v>2.42</v>
      </c>
      <c r="H31" s="24">
        <v>6.2400999999999998E-2</v>
      </c>
      <c r="I31" s="24"/>
    </row>
    <row r="32" spans="1:9" ht="13" customHeight="1" x14ac:dyDescent="0.35">
      <c r="A32" s="1" t="s">
        <v>241</v>
      </c>
      <c r="B32" s="10" t="s">
        <v>606</v>
      </c>
      <c r="C32" s="11" t="s">
        <v>242</v>
      </c>
      <c r="D32" s="7" t="s">
        <v>184</v>
      </c>
      <c r="E32" s="12">
        <v>1500000</v>
      </c>
      <c r="F32" s="13">
        <v>1482.93</v>
      </c>
      <c r="G32" s="13">
        <v>2.4</v>
      </c>
      <c r="H32" s="24">
        <v>6.2701000000000007E-2</v>
      </c>
      <c r="I32" s="24"/>
    </row>
    <row r="33" spans="1:9" ht="13" customHeight="1" x14ac:dyDescent="0.35">
      <c r="A33" s="1" t="s">
        <v>243</v>
      </c>
      <c r="B33" s="10" t="s">
        <v>592</v>
      </c>
      <c r="C33" s="11" t="s">
        <v>244</v>
      </c>
      <c r="D33" s="7" t="s">
        <v>184</v>
      </c>
      <c r="E33" s="12">
        <v>1000000</v>
      </c>
      <c r="F33" s="13">
        <v>986.84</v>
      </c>
      <c r="G33" s="13">
        <v>1.6</v>
      </c>
      <c r="H33" s="24">
        <v>6.3199000000000005E-2</v>
      </c>
      <c r="I33" s="24"/>
    </row>
    <row r="34" spans="1:9" ht="13" customHeight="1" x14ac:dyDescent="0.35">
      <c r="A34" s="1" t="s">
        <v>245</v>
      </c>
      <c r="B34" s="10" t="s">
        <v>593</v>
      </c>
      <c r="C34" s="11" t="s">
        <v>246</v>
      </c>
      <c r="D34" s="7" t="s">
        <v>184</v>
      </c>
      <c r="E34" s="12">
        <v>500000</v>
      </c>
      <c r="F34" s="13">
        <v>496.98</v>
      </c>
      <c r="G34" s="13">
        <v>0.81</v>
      </c>
      <c r="H34" s="24">
        <v>6.1698000000000003E-2</v>
      </c>
      <c r="I34" s="24"/>
    </row>
    <row r="35" spans="1:9" ht="13" customHeight="1" x14ac:dyDescent="0.35">
      <c r="A35" s="1" t="s">
        <v>247</v>
      </c>
      <c r="B35" s="10" t="s">
        <v>594</v>
      </c>
      <c r="C35" s="11" t="s">
        <v>248</v>
      </c>
      <c r="D35" s="7" t="s">
        <v>184</v>
      </c>
      <c r="E35" s="12">
        <v>500000</v>
      </c>
      <c r="F35" s="13">
        <v>493.63</v>
      </c>
      <c r="G35" s="13">
        <v>0.8</v>
      </c>
      <c r="H35" s="24">
        <v>6.2819E-2</v>
      </c>
      <c r="I35" s="24"/>
    </row>
    <row r="36" spans="1:9" ht="13" customHeight="1" x14ac:dyDescent="0.35">
      <c r="A36" s="2"/>
      <c r="B36" s="6" t="s">
        <v>176</v>
      </c>
      <c r="C36" s="7"/>
      <c r="D36" s="7"/>
      <c r="E36" s="7"/>
      <c r="F36" s="15">
        <v>19776.02</v>
      </c>
      <c r="G36" s="15">
        <v>32.06</v>
      </c>
      <c r="H36" s="14"/>
      <c r="I36" s="14"/>
    </row>
    <row r="37" spans="1:9" ht="13" customHeight="1" x14ac:dyDescent="0.35">
      <c r="A37" s="2"/>
      <c r="B37" s="6" t="s">
        <v>185</v>
      </c>
      <c r="C37" s="9"/>
      <c r="D37" s="9"/>
      <c r="E37" s="7"/>
      <c r="F37" s="7"/>
      <c r="G37" s="7"/>
      <c r="H37" s="8"/>
      <c r="I37" s="8"/>
    </row>
    <row r="38" spans="1:9" ht="13" customHeight="1" x14ac:dyDescent="0.35">
      <c r="A38" s="1" t="s">
        <v>249</v>
      </c>
      <c r="B38" s="10" t="s">
        <v>595</v>
      </c>
      <c r="C38" s="11" t="s">
        <v>250</v>
      </c>
      <c r="D38" s="7" t="s">
        <v>184</v>
      </c>
      <c r="E38" s="12">
        <v>2500000</v>
      </c>
      <c r="F38" s="13">
        <v>2491.4899999999998</v>
      </c>
      <c r="G38" s="13">
        <v>4.04</v>
      </c>
      <c r="H38" s="24">
        <v>5.9348999999999999E-2</v>
      </c>
      <c r="I38" s="24"/>
    </row>
    <row r="39" spans="1:9" ht="13" customHeight="1" x14ac:dyDescent="0.35">
      <c r="A39" s="1" t="s">
        <v>251</v>
      </c>
      <c r="B39" s="10" t="s">
        <v>596</v>
      </c>
      <c r="C39" s="11" t="s">
        <v>252</v>
      </c>
      <c r="D39" s="7" t="s">
        <v>184</v>
      </c>
      <c r="E39" s="12">
        <v>2500000</v>
      </c>
      <c r="F39" s="13">
        <v>2479.4499999999998</v>
      </c>
      <c r="G39" s="13">
        <v>4.0199999999999996</v>
      </c>
      <c r="H39" s="24">
        <v>7.0361000000000007E-2</v>
      </c>
      <c r="I39" s="24"/>
    </row>
    <row r="40" spans="1:9" ht="13" customHeight="1" x14ac:dyDescent="0.35">
      <c r="A40" s="1" t="s">
        <v>253</v>
      </c>
      <c r="B40" s="10" t="s">
        <v>597</v>
      </c>
      <c r="C40" s="11" t="s">
        <v>254</v>
      </c>
      <c r="D40" s="7" t="s">
        <v>184</v>
      </c>
      <c r="E40" s="12">
        <v>2500000</v>
      </c>
      <c r="F40" s="13">
        <v>2475.65</v>
      </c>
      <c r="G40" s="13">
        <v>4.01</v>
      </c>
      <c r="H40" s="24">
        <v>6.4102000000000006E-2</v>
      </c>
      <c r="I40" s="24"/>
    </row>
    <row r="41" spans="1:9" ht="13" customHeight="1" x14ac:dyDescent="0.35">
      <c r="A41" s="1" t="s">
        <v>255</v>
      </c>
      <c r="B41" s="10" t="s">
        <v>598</v>
      </c>
      <c r="C41" s="11" t="s">
        <v>256</v>
      </c>
      <c r="D41" s="7" t="s">
        <v>184</v>
      </c>
      <c r="E41" s="12">
        <v>2500000</v>
      </c>
      <c r="F41" s="13">
        <v>2472.8200000000002</v>
      </c>
      <c r="G41" s="13">
        <v>4.01</v>
      </c>
      <c r="H41" s="24">
        <v>6.2698000000000004E-2</v>
      </c>
      <c r="I41" s="24"/>
    </row>
    <row r="42" spans="1:9" ht="13" customHeight="1" x14ac:dyDescent="0.35">
      <c r="A42" s="1" t="s">
        <v>257</v>
      </c>
      <c r="B42" s="10" t="s">
        <v>599</v>
      </c>
      <c r="C42" s="11" t="s">
        <v>258</v>
      </c>
      <c r="D42" s="7" t="s">
        <v>184</v>
      </c>
      <c r="E42" s="12">
        <v>2500000</v>
      </c>
      <c r="F42" s="13">
        <v>2470.91</v>
      </c>
      <c r="G42" s="13">
        <v>4</v>
      </c>
      <c r="H42" s="24">
        <v>6.3201999999999994E-2</v>
      </c>
      <c r="I42" s="24"/>
    </row>
    <row r="43" spans="1:9" ht="13" customHeight="1" x14ac:dyDescent="0.35">
      <c r="A43" s="1" t="s">
        <v>259</v>
      </c>
      <c r="B43" s="10" t="s">
        <v>607</v>
      </c>
      <c r="C43" s="11" t="s">
        <v>260</v>
      </c>
      <c r="D43" s="7" t="s">
        <v>184</v>
      </c>
      <c r="E43" s="12">
        <v>2500000</v>
      </c>
      <c r="F43" s="13">
        <v>2469.69</v>
      </c>
      <c r="G43" s="13">
        <v>4</v>
      </c>
      <c r="H43" s="24">
        <v>6.3999E-2</v>
      </c>
      <c r="I43" s="24"/>
    </row>
    <row r="44" spans="1:9" ht="13" customHeight="1" x14ac:dyDescent="0.35">
      <c r="A44" s="1" t="s">
        <v>261</v>
      </c>
      <c r="B44" s="10" t="s">
        <v>600</v>
      </c>
      <c r="C44" s="11" t="s">
        <v>262</v>
      </c>
      <c r="D44" s="7" t="s">
        <v>263</v>
      </c>
      <c r="E44" s="12">
        <v>2500000</v>
      </c>
      <c r="F44" s="13">
        <v>2460.41</v>
      </c>
      <c r="G44" s="13">
        <v>3.99</v>
      </c>
      <c r="H44" s="24">
        <v>7.1623999999999993E-2</v>
      </c>
      <c r="I44" s="24"/>
    </row>
    <row r="45" spans="1:9" ht="13" customHeight="1" x14ac:dyDescent="0.35">
      <c r="A45" s="1" t="s">
        <v>264</v>
      </c>
      <c r="B45" s="10" t="s">
        <v>601</v>
      </c>
      <c r="C45" s="11" t="s">
        <v>265</v>
      </c>
      <c r="D45" s="7" t="s">
        <v>184</v>
      </c>
      <c r="E45" s="12">
        <v>1500000</v>
      </c>
      <c r="F45" s="13">
        <v>1493.16</v>
      </c>
      <c r="G45" s="13">
        <v>2.42</v>
      </c>
      <c r="H45" s="24">
        <v>6.6895999999999997E-2</v>
      </c>
      <c r="I45" s="24"/>
    </row>
    <row r="46" spans="1:9" ht="13" customHeight="1" x14ac:dyDescent="0.35">
      <c r="A46" s="1" t="s">
        <v>186</v>
      </c>
      <c r="B46" s="10" t="s">
        <v>583</v>
      </c>
      <c r="C46" s="11" t="s">
        <v>187</v>
      </c>
      <c r="D46" s="7" t="s">
        <v>184</v>
      </c>
      <c r="E46" s="12">
        <v>1500000</v>
      </c>
      <c r="F46" s="13">
        <v>1490.85</v>
      </c>
      <c r="G46" s="13">
        <v>2.42</v>
      </c>
      <c r="H46" s="24">
        <v>6.2252000000000002E-2</v>
      </c>
      <c r="I46" s="24"/>
    </row>
    <row r="47" spans="1:9" ht="13" customHeight="1" x14ac:dyDescent="0.35">
      <c r="A47" s="1" t="s">
        <v>266</v>
      </c>
      <c r="B47" s="10" t="s">
        <v>602</v>
      </c>
      <c r="C47" s="11" t="s">
        <v>267</v>
      </c>
      <c r="D47" s="7" t="s">
        <v>263</v>
      </c>
      <c r="E47" s="12">
        <v>1500000</v>
      </c>
      <c r="F47" s="13">
        <v>1486.65</v>
      </c>
      <c r="G47" s="13">
        <v>2.41</v>
      </c>
      <c r="H47" s="24">
        <v>6.9750000000000006E-2</v>
      </c>
      <c r="I47" s="24"/>
    </row>
    <row r="48" spans="1:9" ht="13" customHeight="1" x14ac:dyDescent="0.35">
      <c r="A48" s="1" t="s">
        <v>268</v>
      </c>
      <c r="B48" s="10" t="s">
        <v>603</v>
      </c>
      <c r="C48" s="11" t="s">
        <v>269</v>
      </c>
      <c r="D48" s="7" t="s">
        <v>263</v>
      </c>
      <c r="E48" s="12">
        <v>1500000</v>
      </c>
      <c r="F48" s="13">
        <v>1485.05</v>
      </c>
      <c r="G48" s="13">
        <v>2.41</v>
      </c>
      <c r="H48" s="24">
        <v>7.3498999999999995E-2</v>
      </c>
      <c r="I48" s="24"/>
    </row>
    <row r="49" spans="1:11" ht="13" customHeight="1" x14ac:dyDescent="0.35">
      <c r="A49" s="1" t="s">
        <v>270</v>
      </c>
      <c r="B49" s="10" t="s">
        <v>604</v>
      </c>
      <c r="C49" s="11" t="s">
        <v>271</v>
      </c>
      <c r="D49" s="7" t="s">
        <v>184</v>
      </c>
      <c r="E49" s="12">
        <v>1000000</v>
      </c>
      <c r="F49" s="13">
        <v>996.72</v>
      </c>
      <c r="G49" s="13">
        <v>1.62</v>
      </c>
      <c r="H49" s="24">
        <v>6.6698999999999994E-2</v>
      </c>
      <c r="I49" s="24"/>
    </row>
    <row r="50" spans="1:11" ht="13" customHeight="1" x14ac:dyDescent="0.35">
      <c r="A50" s="2"/>
      <c r="B50" s="6" t="s">
        <v>176</v>
      </c>
      <c r="C50" s="7"/>
      <c r="D50" s="7"/>
      <c r="E50" s="7"/>
      <c r="F50" s="15">
        <v>24272.85</v>
      </c>
      <c r="G50" s="15">
        <v>39.35</v>
      </c>
      <c r="H50" s="14"/>
      <c r="I50" s="14"/>
    </row>
    <row r="51" spans="1:11" ht="13" customHeight="1" x14ac:dyDescent="0.35">
      <c r="A51" s="2"/>
      <c r="B51" s="6" t="s">
        <v>188</v>
      </c>
      <c r="C51" s="9"/>
      <c r="D51" s="9"/>
      <c r="E51" s="7"/>
      <c r="F51" s="7"/>
      <c r="G51" s="7"/>
      <c r="H51" s="8"/>
      <c r="I51" s="8"/>
    </row>
    <row r="52" spans="1:11" ht="13" customHeight="1" x14ac:dyDescent="0.35">
      <c r="A52" s="1" t="s">
        <v>189</v>
      </c>
      <c r="B52" s="10" t="s">
        <v>190</v>
      </c>
      <c r="C52" s="11"/>
      <c r="D52" s="7"/>
      <c r="E52" s="12"/>
      <c r="F52" s="13">
        <v>5773.49</v>
      </c>
      <c r="G52" s="13">
        <v>9.36</v>
      </c>
      <c r="H52" s="24">
        <v>5.0814098478274179E-2</v>
      </c>
      <c r="I52" s="24"/>
    </row>
    <row r="53" spans="1:11" ht="13" customHeight="1" x14ac:dyDescent="0.35">
      <c r="A53" s="2"/>
      <c r="B53" s="6" t="s">
        <v>176</v>
      </c>
      <c r="C53" s="7"/>
      <c r="D53" s="7"/>
      <c r="E53" s="7"/>
      <c r="F53" s="15">
        <v>5773.49</v>
      </c>
      <c r="G53" s="15">
        <v>9.36</v>
      </c>
      <c r="H53" s="14"/>
      <c r="I53" s="14"/>
    </row>
    <row r="54" spans="1:11" ht="13" customHeight="1" x14ac:dyDescent="0.35">
      <c r="A54" s="2"/>
      <c r="B54" s="16" t="s">
        <v>179</v>
      </c>
      <c r="C54" s="17"/>
      <c r="D54" s="17"/>
      <c r="E54" s="23"/>
      <c r="F54" s="15">
        <v>57790.06</v>
      </c>
      <c r="G54" s="15">
        <v>93.68</v>
      </c>
      <c r="H54" s="20"/>
      <c r="I54" s="20"/>
    </row>
    <row r="55" spans="1:11" ht="13" customHeight="1" x14ac:dyDescent="0.35">
      <c r="A55" s="2"/>
      <c r="B55" s="6" t="s">
        <v>272</v>
      </c>
      <c r="C55" s="7"/>
      <c r="D55" s="7"/>
      <c r="E55" s="7"/>
      <c r="F55" s="7"/>
      <c r="G55" s="7"/>
      <c r="H55" s="8"/>
      <c r="I55" s="8"/>
    </row>
    <row r="56" spans="1:11" ht="13" customHeight="1" x14ac:dyDescent="0.35">
      <c r="A56" s="2"/>
      <c r="B56" s="6" t="s">
        <v>273</v>
      </c>
      <c r="C56" s="9"/>
      <c r="D56" s="9"/>
      <c r="E56" s="7"/>
      <c r="F56" s="7"/>
      <c r="G56" s="7"/>
      <c r="H56" s="8"/>
      <c r="I56" s="8"/>
    </row>
    <row r="57" spans="1:11" ht="13" customHeight="1" x14ac:dyDescent="0.35">
      <c r="A57" s="1" t="s">
        <v>274</v>
      </c>
      <c r="B57" s="10" t="s">
        <v>273</v>
      </c>
      <c r="C57" s="11" t="s">
        <v>275</v>
      </c>
      <c r="D57" s="7"/>
      <c r="E57" s="12">
        <v>810.88400000000001</v>
      </c>
      <c r="F57" s="13">
        <v>97.36</v>
      </c>
      <c r="G57" s="13">
        <v>0.16</v>
      </c>
      <c r="H57" s="24"/>
      <c r="I57" s="24"/>
    </row>
    <row r="58" spans="1:11" ht="13" customHeight="1" x14ac:dyDescent="0.35">
      <c r="A58" s="2"/>
      <c r="B58" s="6" t="s">
        <v>176</v>
      </c>
      <c r="C58" s="7"/>
      <c r="D58" s="7"/>
      <c r="E58" s="7"/>
      <c r="F58" s="15">
        <v>97.36</v>
      </c>
      <c r="G58" s="15">
        <v>0.16</v>
      </c>
      <c r="H58" s="14"/>
      <c r="I58" s="14"/>
    </row>
    <row r="59" spans="1:11" ht="13" customHeight="1" x14ac:dyDescent="0.35">
      <c r="A59" s="2"/>
      <c r="B59" s="16" t="s">
        <v>179</v>
      </c>
      <c r="C59" s="17"/>
      <c r="D59" s="17"/>
      <c r="E59" s="23"/>
      <c r="F59" s="15">
        <v>97.36</v>
      </c>
      <c r="G59" s="15">
        <v>0.16</v>
      </c>
      <c r="H59" s="20"/>
      <c r="I59" s="20"/>
    </row>
    <row r="60" spans="1:11" ht="13" customHeight="1" x14ac:dyDescent="0.35">
      <c r="A60" s="2"/>
      <c r="B60" s="16" t="s">
        <v>191</v>
      </c>
      <c r="C60" s="17"/>
      <c r="D60" s="17"/>
      <c r="E60" s="7"/>
      <c r="F60" s="15">
        <v>311.55</v>
      </c>
      <c r="G60" s="15">
        <v>0.49</v>
      </c>
      <c r="H60" s="20"/>
      <c r="I60" s="20"/>
    </row>
    <row r="61" spans="1:11" ht="13" customHeight="1" x14ac:dyDescent="0.35">
      <c r="A61" s="2"/>
      <c r="B61" s="25" t="s">
        <v>192</v>
      </c>
      <c r="C61" s="26"/>
      <c r="D61" s="26"/>
      <c r="E61" s="26"/>
      <c r="F61" s="27">
        <v>61701.77</v>
      </c>
      <c r="G61" s="28">
        <v>100</v>
      </c>
      <c r="H61" s="29"/>
      <c r="I61" s="29"/>
    </row>
    <row r="62" spans="1:11" ht="13" customHeight="1" x14ac:dyDescent="0.35">
      <c r="A62" s="2"/>
      <c r="B62" s="73"/>
      <c r="C62" s="73"/>
      <c r="D62" s="73"/>
      <c r="E62" s="73"/>
      <c r="F62" s="2"/>
      <c r="G62" s="2"/>
      <c r="H62" s="2"/>
      <c r="I62" s="2"/>
    </row>
    <row r="63" spans="1:11" ht="13" customHeight="1" x14ac:dyDescent="0.35">
      <c r="A63" s="31"/>
      <c r="B63" s="79" t="s">
        <v>572</v>
      </c>
      <c r="C63" s="79"/>
      <c r="D63" s="79"/>
      <c r="E63" s="79"/>
      <c r="F63" s="31"/>
      <c r="G63" s="31"/>
      <c r="H63" s="31"/>
      <c r="I63" s="31"/>
      <c r="J63" s="31"/>
      <c r="K63" s="31"/>
    </row>
    <row r="64" spans="1:11" ht="13" customHeight="1" x14ac:dyDescent="0.35">
      <c r="A64" s="31"/>
      <c r="B64" s="79" t="s">
        <v>194</v>
      </c>
      <c r="C64" s="79"/>
      <c r="D64" s="79"/>
      <c r="E64" s="79"/>
      <c r="F64" s="31"/>
      <c r="G64" s="31"/>
      <c r="H64" s="31"/>
      <c r="I64" s="31"/>
      <c r="J64" s="31"/>
      <c r="K64" s="31"/>
    </row>
    <row r="65" spans="1:12" ht="13" customHeight="1" x14ac:dyDescent="0.35">
      <c r="A65" s="31"/>
      <c r="B65" s="33" t="s">
        <v>526</v>
      </c>
      <c r="C65" s="34"/>
      <c r="D65" s="34"/>
      <c r="E65" s="34"/>
      <c r="F65" s="31"/>
      <c r="G65" s="31"/>
      <c r="H65" s="31"/>
      <c r="I65" s="31"/>
      <c r="J65" s="31"/>
      <c r="K65" s="31"/>
    </row>
    <row r="66" spans="1:12" ht="13" customHeight="1" x14ac:dyDescent="0.35">
      <c r="A66" s="31"/>
      <c r="B66" s="35"/>
      <c r="C66" s="35"/>
      <c r="D66" s="35"/>
      <c r="E66" s="35"/>
      <c r="F66" s="31"/>
      <c r="G66" s="31"/>
      <c r="H66" s="31"/>
      <c r="I66" s="31"/>
      <c r="J66" s="31"/>
      <c r="K66" s="31"/>
    </row>
    <row r="67" spans="1:12" ht="13" customHeight="1" x14ac:dyDescent="0.35">
      <c r="A67" s="31"/>
      <c r="B67" s="32" t="s">
        <v>195</v>
      </c>
      <c r="C67" s="32"/>
      <c r="D67" s="32"/>
      <c r="E67" s="32"/>
      <c r="F67" s="31"/>
      <c r="G67" s="31"/>
      <c r="H67" s="31"/>
      <c r="I67" s="31"/>
      <c r="J67" s="31"/>
      <c r="K67" s="31"/>
    </row>
    <row r="68" spans="1:12" ht="13" customHeight="1" x14ac:dyDescent="0.35">
      <c r="A68" s="31"/>
      <c r="B68" s="36" t="s">
        <v>556</v>
      </c>
      <c r="C68" s="36"/>
      <c r="D68" s="36"/>
      <c r="E68" s="36"/>
      <c r="F68" s="31"/>
      <c r="G68" s="31"/>
      <c r="H68" s="31"/>
      <c r="I68" s="31"/>
      <c r="J68" s="31"/>
      <c r="K68" s="31"/>
    </row>
    <row r="69" spans="1:12" ht="13" customHeight="1" x14ac:dyDescent="0.35">
      <c r="A69" s="31"/>
      <c r="B69" s="36" t="s">
        <v>527</v>
      </c>
      <c r="C69" s="36"/>
      <c r="D69" s="36"/>
      <c r="E69" s="36"/>
      <c r="F69" s="31"/>
      <c r="G69" s="31"/>
      <c r="H69" s="31"/>
      <c r="I69" s="31"/>
      <c r="J69" s="31"/>
      <c r="K69" s="31"/>
    </row>
    <row r="70" spans="1:12" ht="13" customHeight="1" x14ac:dyDescent="0.35">
      <c r="A70" s="31"/>
      <c r="B70" s="36" t="s">
        <v>528</v>
      </c>
      <c r="C70" s="36"/>
      <c r="D70" s="36"/>
      <c r="E70" s="36"/>
      <c r="F70" s="31"/>
      <c r="G70" s="31"/>
      <c r="H70" s="31"/>
      <c r="I70" s="31"/>
      <c r="J70" s="31"/>
      <c r="K70" s="31"/>
    </row>
    <row r="71" spans="1:12" ht="13" customHeight="1" x14ac:dyDescent="0.35">
      <c r="A71" s="31"/>
      <c r="B71" s="32" t="s">
        <v>529</v>
      </c>
      <c r="C71" s="37" t="s">
        <v>557</v>
      </c>
      <c r="D71" s="37" t="s">
        <v>530</v>
      </c>
      <c r="E71" s="31"/>
      <c r="F71" s="31"/>
      <c r="G71" s="31"/>
      <c r="H71" s="31"/>
      <c r="I71" s="31"/>
      <c r="J71" s="31"/>
      <c r="K71" s="31"/>
    </row>
    <row r="72" spans="1:12" ht="13" customHeight="1" x14ac:dyDescent="0.35">
      <c r="A72" s="31"/>
      <c r="B72" s="35" t="s">
        <v>531</v>
      </c>
      <c r="C72" s="38">
        <v>104.7559</v>
      </c>
      <c r="D72" s="60">
        <v>104.2714</v>
      </c>
      <c r="E72" s="38"/>
      <c r="F72" s="31"/>
      <c r="G72" s="31"/>
      <c r="H72" s="31"/>
      <c r="I72" s="31"/>
      <c r="J72" s="31"/>
      <c r="K72" s="31"/>
    </row>
    <row r="73" spans="1:12" ht="13" customHeight="1" x14ac:dyDescent="0.35">
      <c r="A73" s="31"/>
      <c r="B73" s="35" t="s">
        <v>532</v>
      </c>
      <c r="C73" s="38">
        <v>101.54949999999999</v>
      </c>
      <c r="D73" s="60">
        <v>101.07980000000001</v>
      </c>
      <c r="E73" s="38"/>
      <c r="F73" s="31"/>
      <c r="G73" s="31"/>
      <c r="H73" s="31"/>
      <c r="I73" s="31"/>
      <c r="J73" s="31"/>
      <c r="K73" s="31"/>
      <c r="L73" s="39"/>
    </row>
    <row r="74" spans="1:12" ht="13" customHeight="1" x14ac:dyDescent="0.35">
      <c r="A74" s="39"/>
      <c r="B74" s="35" t="s">
        <v>533</v>
      </c>
      <c r="C74" s="38">
        <v>101.4849</v>
      </c>
      <c r="D74" s="60">
        <v>101.0219</v>
      </c>
      <c r="E74" s="38"/>
      <c r="F74" s="31"/>
      <c r="G74" s="31"/>
      <c r="H74" s="31"/>
      <c r="I74" s="31"/>
      <c r="J74" s="31"/>
      <c r="K74" s="31"/>
      <c r="L74" s="39"/>
    </row>
    <row r="75" spans="1:12" x14ac:dyDescent="0.35">
      <c r="A75" s="39"/>
      <c r="B75" s="35" t="s">
        <v>534</v>
      </c>
      <c r="C75" s="38">
        <v>104.6884</v>
      </c>
      <c r="D75" s="60">
        <v>104.2109</v>
      </c>
      <c r="E75" s="38"/>
      <c r="F75" s="31"/>
      <c r="G75" s="31"/>
      <c r="H75" s="31"/>
      <c r="I75" s="31"/>
      <c r="J75" s="31"/>
      <c r="K75" s="31"/>
      <c r="L75" s="39"/>
    </row>
    <row r="76" spans="1:12" x14ac:dyDescent="0.35">
      <c r="A76" s="39"/>
      <c r="B76" s="35" t="s">
        <v>535</v>
      </c>
      <c r="C76" s="38">
        <v>100.2612</v>
      </c>
      <c r="D76" s="60">
        <v>100.28870000000001</v>
      </c>
      <c r="E76" s="38"/>
      <c r="F76" s="31"/>
      <c r="G76" s="31"/>
      <c r="H76" s="31"/>
      <c r="I76" s="31"/>
      <c r="J76" s="31"/>
      <c r="K76" s="31"/>
      <c r="L76" s="39"/>
    </row>
    <row r="77" spans="1:12" x14ac:dyDescent="0.35">
      <c r="A77" s="39"/>
      <c r="B77" s="35" t="s">
        <v>536</v>
      </c>
      <c r="C77" s="38">
        <v>100.25830000000001</v>
      </c>
      <c r="D77" s="60">
        <v>100.28570000000001</v>
      </c>
      <c r="E77" s="38"/>
      <c r="F77" s="31"/>
      <c r="G77" s="31"/>
      <c r="H77" s="31"/>
      <c r="I77" s="31"/>
      <c r="J77" s="31"/>
      <c r="K77" s="31"/>
      <c r="L77" s="39"/>
    </row>
    <row r="78" spans="1:12" x14ac:dyDescent="0.35">
      <c r="A78" s="39"/>
      <c r="B78" s="35" t="s">
        <v>537</v>
      </c>
      <c r="C78" s="38">
        <v>100.09399999999999</v>
      </c>
      <c r="D78" s="60">
        <v>100.06229999999999</v>
      </c>
      <c r="E78" s="38"/>
      <c r="F78" s="31"/>
      <c r="G78" s="31"/>
      <c r="H78" s="31"/>
      <c r="I78" s="31"/>
      <c r="J78" s="31"/>
      <c r="K78" s="31"/>
      <c r="L78" s="39"/>
    </row>
    <row r="79" spans="1:12" x14ac:dyDescent="0.35">
      <c r="A79" s="39"/>
      <c r="B79" s="35" t="s">
        <v>538</v>
      </c>
      <c r="C79" s="38">
        <v>100.0881</v>
      </c>
      <c r="D79" s="60">
        <v>100.0881</v>
      </c>
      <c r="E79" s="38"/>
      <c r="F79" s="31"/>
      <c r="G79" s="31"/>
      <c r="H79" s="31"/>
      <c r="I79" s="31"/>
      <c r="J79" s="31"/>
      <c r="K79" s="31"/>
      <c r="L79" s="39"/>
    </row>
    <row r="80" spans="1:12" x14ac:dyDescent="0.35">
      <c r="A80" s="39"/>
      <c r="B80" s="35" t="s">
        <v>539</v>
      </c>
      <c r="C80" s="38">
        <v>100.0945</v>
      </c>
      <c r="D80" s="60">
        <v>100.06229999999999</v>
      </c>
      <c r="E80" s="38"/>
      <c r="F80" s="31"/>
      <c r="G80" s="31"/>
      <c r="H80" s="31"/>
      <c r="I80" s="31"/>
      <c r="J80" s="31"/>
      <c r="K80" s="31"/>
      <c r="L80" s="39"/>
    </row>
    <row r="81" spans="1:12" x14ac:dyDescent="0.35">
      <c r="A81" s="39"/>
      <c r="B81" s="35" t="s">
        <v>540</v>
      </c>
      <c r="C81" s="38">
        <v>100.0881</v>
      </c>
      <c r="D81" s="60">
        <v>100.0881</v>
      </c>
      <c r="E81" s="38"/>
      <c r="F81" s="31"/>
      <c r="G81" s="31"/>
      <c r="H81" s="31"/>
      <c r="I81" s="31"/>
      <c r="J81" s="31"/>
      <c r="K81" s="31"/>
      <c r="L81" s="39"/>
    </row>
    <row r="82" spans="1:12" x14ac:dyDescent="0.35">
      <c r="A82" s="39"/>
      <c r="B82" s="35" t="s">
        <v>541</v>
      </c>
      <c r="C82" s="38">
        <v>101.158</v>
      </c>
      <c r="D82" s="60">
        <v>100.70869999999999</v>
      </c>
      <c r="E82" s="38"/>
      <c r="F82" s="31"/>
      <c r="G82" s="31"/>
      <c r="H82" s="31"/>
      <c r="I82" s="31"/>
      <c r="J82" s="31"/>
      <c r="K82" s="31"/>
      <c r="L82" s="39"/>
    </row>
    <row r="83" spans="1:12" x14ac:dyDescent="0.35">
      <c r="A83" s="39"/>
      <c r="B83" s="35"/>
      <c r="C83" s="38"/>
      <c r="D83" s="38"/>
      <c r="E83" s="38"/>
      <c r="F83" s="31"/>
      <c r="G83" s="31"/>
      <c r="H83" s="31"/>
      <c r="I83" s="31"/>
      <c r="J83" s="31"/>
      <c r="K83" s="31"/>
      <c r="L83" s="39"/>
    </row>
    <row r="84" spans="1:12" x14ac:dyDescent="0.35">
      <c r="A84" s="39"/>
      <c r="B84" s="35"/>
      <c r="C84" s="31"/>
      <c r="D84" s="31"/>
      <c r="E84" s="31"/>
      <c r="F84" s="31"/>
      <c r="G84" s="31"/>
      <c r="H84" s="31"/>
      <c r="I84" s="31"/>
      <c r="J84" s="31"/>
      <c r="K84" s="31"/>
      <c r="L84" s="39"/>
    </row>
    <row r="85" spans="1:12" x14ac:dyDescent="0.35">
      <c r="B85" s="36" t="s">
        <v>608</v>
      </c>
      <c r="C85" s="31"/>
      <c r="D85" s="31"/>
      <c r="E85" s="31"/>
      <c r="F85" s="31"/>
      <c r="G85" s="31"/>
      <c r="H85" s="31"/>
      <c r="I85" s="31"/>
      <c r="J85" s="31"/>
      <c r="K85" s="31"/>
    </row>
    <row r="86" spans="1:12" x14ac:dyDescent="0.35">
      <c r="B86" s="32" t="s">
        <v>542</v>
      </c>
      <c r="C86" s="40" t="s">
        <v>543</v>
      </c>
      <c r="D86" s="40" t="s">
        <v>544</v>
      </c>
      <c r="E86" s="31"/>
      <c r="F86" s="31"/>
      <c r="G86" s="31"/>
      <c r="H86" s="31"/>
      <c r="I86" s="31"/>
      <c r="J86" s="31"/>
      <c r="K86" s="31"/>
    </row>
    <row r="87" spans="1:12" x14ac:dyDescent="0.35">
      <c r="B87" s="35" t="s">
        <v>540</v>
      </c>
      <c r="C87" s="59">
        <v>0.46467830999999998</v>
      </c>
      <c r="D87" s="59">
        <v>0.46467830999999998</v>
      </c>
      <c r="E87" s="31"/>
      <c r="F87" s="31"/>
      <c r="G87" s="31"/>
      <c r="H87" s="31"/>
      <c r="I87" s="31"/>
      <c r="J87" s="31"/>
      <c r="K87" s="31"/>
    </row>
    <row r="88" spans="1:12" x14ac:dyDescent="0.35">
      <c r="B88" s="35" t="s">
        <v>535</v>
      </c>
      <c r="C88" s="59">
        <v>0.49248790999999997</v>
      </c>
      <c r="D88" s="59">
        <v>0.49248790999999997</v>
      </c>
      <c r="E88" s="31"/>
      <c r="F88" s="31"/>
      <c r="G88" s="31"/>
      <c r="H88" s="31"/>
      <c r="I88" s="31"/>
      <c r="J88" s="31"/>
      <c r="K88" s="31"/>
    </row>
    <row r="89" spans="1:12" x14ac:dyDescent="0.35">
      <c r="B89" s="35" t="s">
        <v>532</v>
      </c>
      <c r="C89" s="59" t="s">
        <v>545</v>
      </c>
      <c r="D89" s="59" t="s">
        <v>545</v>
      </c>
      <c r="E89" s="31"/>
      <c r="F89" s="31"/>
      <c r="G89" s="31"/>
      <c r="H89" s="31"/>
      <c r="I89" s="31"/>
      <c r="J89" s="31"/>
      <c r="K89" s="31"/>
    </row>
    <row r="90" spans="1:12" x14ac:dyDescent="0.35">
      <c r="B90" s="35" t="s">
        <v>539</v>
      </c>
      <c r="C90" s="59">
        <v>0.43121376</v>
      </c>
      <c r="D90" s="59">
        <v>0.43121376</v>
      </c>
      <c r="E90" s="31"/>
      <c r="F90" s="31"/>
      <c r="G90" s="31"/>
      <c r="H90" s="31"/>
      <c r="I90" s="31"/>
      <c r="J90" s="31"/>
      <c r="K90" s="31"/>
    </row>
    <row r="91" spans="1:12" x14ac:dyDescent="0.35">
      <c r="B91" s="35" t="s">
        <v>538</v>
      </c>
      <c r="C91" s="59">
        <v>0.45767555999999998</v>
      </c>
      <c r="D91" s="59">
        <v>0.45767555999999998</v>
      </c>
      <c r="E91" s="31"/>
      <c r="F91" s="31"/>
      <c r="G91" s="31"/>
      <c r="H91" s="31"/>
      <c r="I91" s="31"/>
      <c r="J91" s="31"/>
      <c r="K91" s="31"/>
    </row>
    <row r="92" spans="1:12" x14ac:dyDescent="0.35">
      <c r="B92" s="35" t="s">
        <v>536</v>
      </c>
      <c r="C92" s="59">
        <v>0.48599661</v>
      </c>
      <c r="D92" s="59">
        <v>0.48599661</v>
      </c>
      <c r="E92" s="31"/>
      <c r="F92" s="31"/>
      <c r="G92" s="31"/>
      <c r="H92" s="31"/>
      <c r="I92" s="31"/>
      <c r="J92" s="31"/>
      <c r="K92" s="31"/>
    </row>
    <row r="93" spans="1:12" x14ac:dyDescent="0.35">
      <c r="B93" s="35" t="s">
        <v>533</v>
      </c>
      <c r="C93" s="59" t="s">
        <v>545</v>
      </c>
      <c r="D93" s="59" t="s">
        <v>545</v>
      </c>
      <c r="E93" s="31"/>
      <c r="F93" s="31"/>
      <c r="G93" s="31"/>
      <c r="H93" s="31"/>
      <c r="I93" s="31"/>
      <c r="J93" s="31"/>
      <c r="K93" s="31"/>
    </row>
    <row r="94" spans="1:12" x14ac:dyDescent="0.35">
      <c r="B94" s="35" t="s">
        <v>537</v>
      </c>
      <c r="C94" s="59">
        <v>0.42520875000000002</v>
      </c>
      <c r="D94" s="59">
        <v>0.42520875000000002</v>
      </c>
      <c r="E94" s="31"/>
      <c r="F94" s="31"/>
      <c r="G94" s="31"/>
      <c r="H94" s="31"/>
      <c r="I94" s="31"/>
      <c r="J94" s="31"/>
      <c r="K94" s="31"/>
    </row>
    <row r="95" spans="1:12" x14ac:dyDescent="0.35">
      <c r="B95" s="35"/>
      <c r="C95" s="31"/>
      <c r="D95" s="31"/>
      <c r="E95" s="31"/>
      <c r="F95" s="31"/>
      <c r="G95" s="31"/>
      <c r="H95" s="31"/>
      <c r="I95" s="31"/>
      <c r="J95" s="31"/>
      <c r="K95" s="31"/>
    </row>
    <row r="96" spans="1:12" x14ac:dyDescent="0.35">
      <c r="B96" s="36" t="s">
        <v>546</v>
      </c>
      <c r="C96" s="35"/>
      <c r="D96" s="35"/>
      <c r="E96" s="35"/>
      <c r="F96" s="31"/>
      <c r="G96" s="31"/>
      <c r="H96" s="31"/>
      <c r="I96" s="31"/>
      <c r="J96" s="31"/>
      <c r="K96" s="31"/>
    </row>
    <row r="97" spans="2:13" x14ac:dyDescent="0.35">
      <c r="B97" s="36" t="s">
        <v>558</v>
      </c>
      <c r="C97" s="35"/>
      <c r="D97" s="35"/>
      <c r="E97" s="35"/>
      <c r="F97" s="31"/>
      <c r="G97" s="31"/>
      <c r="H97" s="31"/>
      <c r="I97" s="31"/>
      <c r="J97" s="31"/>
      <c r="K97" s="31"/>
    </row>
    <row r="98" spans="2:13" x14ac:dyDescent="0.35">
      <c r="B98" s="36" t="s">
        <v>559</v>
      </c>
      <c r="C98" s="35"/>
      <c r="D98" s="35"/>
      <c r="E98" s="35"/>
      <c r="F98" s="31"/>
      <c r="G98" s="31"/>
      <c r="H98" s="31"/>
      <c r="I98" s="31"/>
      <c r="J98" s="31"/>
      <c r="K98" s="31"/>
    </row>
    <row r="99" spans="2:13" x14ac:dyDescent="0.35">
      <c r="B99" s="36" t="s">
        <v>547</v>
      </c>
      <c r="C99" s="35"/>
      <c r="D99" s="35"/>
      <c r="E99" s="35"/>
      <c r="F99" s="31"/>
      <c r="G99" s="31"/>
      <c r="H99" s="31"/>
      <c r="I99" s="31"/>
      <c r="J99" s="31"/>
      <c r="K99" s="31"/>
    </row>
    <row r="100" spans="2:13" x14ac:dyDescent="0.35">
      <c r="B100" s="36" t="s">
        <v>609</v>
      </c>
      <c r="C100" s="35"/>
      <c r="D100" s="35"/>
      <c r="E100" s="35"/>
      <c r="F100" s="31"/>
      <c r="G100" s="31"/>
      <c r="H100" s="31"/>
      <c r="I100" s="31"/>
      <c r="J100" s="31"/>
      <c r="K100" s="31"/>
    </row>
    <row r="101" spans="2:13" x14ac:dyDescent="0.35">
      <c r="B101" s="35" t="s">
        <v>548</v>
      </c>
      <c r="C101" s="35"/>
      <c r="D101" s="35"/>
      <c r="E101" s="35"/>
      <c r="F101" s="31"/>
      <c r="G101" s="31"/>
      <c r="H101" s="31"/>
      <c r="I101" s="31"/>
      <c r="J101" s="31"/>
      <c r="K101" s="31"/>
      <c r="L101" s="31"/>
      <c r="M101" s="31"/>
    </row>
    <row r="102" spans="2:13" x14ac:dyDescent="0.35">
      <c r="B102" s="35" t="s">
        <v>549</v>
      </c>
      <c r="C102" s="35"/>
      <c r="D102" s="35"/>
      <c r="E102" s="35"/>
      <c r="F102" s="39"/>
      <c r="G102" s="39"/>
      <c r="H102" s="39"/>
      <c r="I102" s="39"/>
      <c r="J102" s="39"/>
      <c r="K102" s="39"/>
      <c r="L102" s="31"/>
      <c r="M102" s="39"/>
    </row>
    <row r="103" spans="2:13" x14ac:dyDescent="0.35">
      <c r="B103" s="36" t="s">
        <v>550</v>
      </c>
      <c r="C103" s="35"/>
      <c r="D103" s="35"/>
      <c r="E103" s="35"/>
      <c r="F103" s="39"/>
      <c r="G103" s="39"/>
      <c r="H103" s="39"/>
      <c r="I103" s="39"/>
      <c r="J103" s="39"/>
      <c r="K103" s="39"/>
      <c r="L103" s="31"/>
      <c r="M103" s="39"/>
    </row>
    <row r="104" spans="2:13" x14ac:dyDescent="0.35">
      <c r="B104" s="35" t="s">
        <v>619</v>
      </c>
      <c r="C104" s="35"/>
      <c r="D104" s="35"/>
      <c r="E104" s="35"/>
      <c r="F104" s="39"/>
      <c r="G104" s="39"/>
      <c r="H104" s="39"/>
      <c r="I104" s="39"/>
      <c r="J104" s="39"/>
      <c r="K104" s="39"/>
      <c r="L104" s="31"/>
      <c r="M104" s="39"/>
    </row>
    <row r="105" spans="2:13" x14ac:dyDescent="0.35">
      <c r="B105" s="41" t="s">
        <v>560</v>
      </c>
      <c r="C105" s="39"/>
      <c r="D105" s="39"/>
      <c r="E105" s="39"/>
      <c r="F105" s="39"/>
      <c r="G105" s="39"/>
      <c r="H105" s="39"/>
      <c r="I105" s="39"/>
      <c r="J105" s="39"/>
      <c r="K105" s="39"/>
      <c r="L105" s="31"/>
      <c r="M105" s="39"/>
    </row>
    <row r="106" spans="2:13" x14ac:dyDescent="0.35">
      <c r="B106" s="41" t="s">
        <v>551</v>
      </c>
      <c r="C106" s="39"/>
      <c r="D106" s="39"/>
      <c r="E106" s="39"/>
      <c r="F106" s="39"/>
      <c r="G106" s="39"/>
      <c r="H106" s="39"/>
      <c r="I106" s="39"/>
      <c r="J106" s="39"/>
      <c r="K106" s="39"/>
      <c r="L106" s="31"/>
      <c r="M106" s="39"/>
    </row>
    <row r="107" spans="2:13" x14ac:dyDescent="0.35">
      <c r="B107" s="41" t="s">
        <v>552</v>
      </c>
      <c r="C107" s="39"/>
      <c r="D107" s="39"/>
      <c r="E107" s="39"/>
      <c r="F107" s="39"/>
      <c r="G107" s="39"/>
      <c r="H107" s="39"/>
      <c r="I107" s="39"/>
      <c r="J107" s="39"/>
      <c r="K107" s="39"/>
      <c r="L107" s="31"/>
      <c r="M107" s="39"/>
    </row>
    <row r="108" spans="2:13" x14ac:dyDescent="0.35">
      <c r="B108" s="41"/>
      <c r="C108" s="39"/>
      <c r="D108" s="39"/>
      <c r="E108" s="39"/>
      <c r="F108" s="39"/>
      <c r="G108" s="39"/>
      <c r="H108" s="39"/>
      <c r="I108" s="39"/>
      <c r="J108" s="39"/>
      <c r="K108" s="39"/>
      <c r="L108" s="31"/>
      <c r="M108" s="39"/>
    </row>
    <row r="109" spans="2:13" x14ac:dyDescent="0.35">
      <c r="B109" s="41"/>
      <c r="C109" s="39"/>
      <c r="D109" s="39"/>
      <c r="E109" s="39"/>
      <c r="F109" s="39"/>
      <c r="G109" s="39"/>
      <c r="H109" s="39"/>
      <c r="I109" s="39"/>
      <c r="J109" s="39"/>
      <c r="K109" s="39"/>
      <c r="L109" s="31"/>
      <c r="M109" s="39"/>
    </row>
    <row r="110" spans="2:13" x14ac:dyDescent="0.35">
      <c r="B110" s="39"/>
      <c r="C110" s="39"/>
      <c r="D110" s="39"/>
      <c r="E110" s="39"/>
      <c r="F110" s="39"/>
      <c r="G110" s="39"/>
      <c r="H110" s="39"/>
      <c r="I110" s="39"/>
      <c r="J110" s="39"/>
      <c r="K110" s="39"/>
      <c r="L110" s="31"/>
      <c r="M110" s="39"/>
    </row>
    <row r="111" spans="2:13" x14ac:dyDescent="0.35">
      <c r="B111" s="42" t="s">
        <v>553</v>
      </c>
      <c r="C111" s="39"/>
      <c r="D111" s="39"/>
      <c r="E111" s="39"/>
      <c r="F111" s="39"/>
      <c r="G111" s="39"/>
      <c r="H111" s="39"/>
      <c r="I111" s="39"/>
      <c r="J111" s="39"/>
      <c r="K111" s="39"/>
      <c r="L111" s="31"/>
      <c r="M111" s="39"/>
    </row>
    <row r="112" spans="2:13" x14ac:dyDescent="0.35">
      <c r="B112" s="43" t="s">
        <v>554</v>
      </c>
      <c r="C112" s="39"/>
      <c r="D112" s="39"/>
      <c r="E112" s="39"/>
      <c r="F112" s="39"/>
      <c r="G112" s="39"/>
      <c r="H112" s="39"/>
      <c r="I112" s="39"/>
      <c r="J112" s="39"/>
      <c r="K112" s="39"/>
      <c r="L112" s="31"/>
      <c r="M112" s="39"/>
    </row>
    <row r="113" spans="2:13" x14ac:dyDescent="0.35">
      <c r="B113" s="43" t="s">
        <v>555</v>
      </c>
      <c r="C113" s="39"/>
      <c r="D113" s="39"/>
      <c r="E113" s="39"/>
      <c r="F113" s="39"/>
      <c r="G113" s="39"/>
      <c r="H113" s="39"/>
      <c r="I113" s="39"/>
      <c r="J113" s="39"/>
      <c r="K113" s="39"/>
      <c r="L113" s="39"/>
      <c r="M113" s="39"/>
    </row>
    <row r="114" spans="2:13" x14ac:dyDescent="0.35">
      <c r="B114" s="43" t="s">
        <v>620</v>
      </c>
      <c r="C114" s="39"/>
      <c r="D114" s="39"/>
      <c r="E114" s="39"/>
      <c r="F114" s="39"/>
      <c r="G114" s="39"/>
      <c r="H114" s="39"/>
      <c r="I114" s="39"/>
      <c r="J114" s="39"/>
      <c r="K114" s="39"/>
      <c r="L114" s="39"/>
      <c r="M114" s="39"/>
    </row>
    <row r="115" spans="2:13" x14ac:dyDescent="0.35">
      <c r="B115" s="43" t="s">
        <v>621</v>
      </c>
      <c r="C115" s="39"/>
      <c r="D115" s="39"/>
      <c r="E115" s="39"/>
      <c r="F115" s="39"/>
      <c r="G115" s="39"/>
      <c r="H115" s="39"/>
      <c r="I115" s="39"/>
      <c r="J115" s="39"/>
      <c r="K115" s="39"/>
      <c r="L115" s="39"/>
      <c r="M115" s="39"/>
    </row>
    <row r="116" spans="2:13" x14ac:dyDescent="0.35">
      <c r="B116" s="43" t="s">
        <v>622</v>
      </c>
      <c r="C116" s="39"/>
      <c r="D116" s="39"/>
      <c r="E116" s="39"/>
      <c r="F116" s="39"/>
      <c r="G116" s="39"/>
      <c r="H116" s="39"/>
      <c r="I116" s="39"/>
      <c r="J116" s="39"/>
      <c r="K116" s="39"/>
      <c r="L116" s="39"/>
      <c r="M116" s="39"/>
    </row>
    <row r="117" spans="2:13" x14ac:dyDescent="0.35">
      <c r="B117" s="43" t="s">
        <v>561</v>
      </c>
    </row>
    <row r="120" spans="2:13" ht="80.5" x14ac:dyDescent="0.35">
      <c r="B120" s="64" t="s">
        <v>623</v>
      </c>
    </row>
    <row r="122" spans="2:13" x14ac:dyDescent="0.35">
      <c r="B122" s="57" t="s">
        <v>616</v>
      </c>
    </row>
    <row r="136" spans="2:2" x14ac:dyDescent="0.35">
      <c r="B136" s="65" t="s">
        <v>624</v>
      </c>
    </row>
    <row r="137" spans="2:2" x14ac:dyDescent="0.35">
      <c r="B137" s="65" t="s">
        <v>625</v>
      </c>
    </row>
    <row r="148" spans="2:2" x14ac:dyDescent="0.35">
      <c r="B148" s="57" t="s">
        <v>626</v>
      </c>
    </row>
  </sheetData>
  <mergeCells count="7">
    <mergeCell ref="B63:E63"/>
    <mergeCell ref="B64:E64"/>
    <mergeCell ref="B1:I1"/>
    <mergeCell ref="B3:I3"/>
    <mergeCell ref="B2:I2"/>
    <mergeCell ref="B4:I4"/>
    <mergeCell ref="B62:E62"/>
  </mergeCells>
  <pageMargins left="0" right="0" top="0" bottom="0" header="0" footer="0"/>
  <pageSetup orientation="portrait"/>
  <headerFooter>
    <oddFooter xml:space="preserve">&amp;C_x000D_&amp;1#&amp;"Aptos"&amp;10&amp;K000000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M117"/>
  <sheetViews>
    <sheetView showGridLines="0" workbookViewId="0"/>
  </sheetViews>
  <sheetFormatPr defaultRowHeight="14.5" x14ac:dyDescent="0.35"/>
  <cols>
    <col min="1" max="1" width="3.36328125" customWidth="1"/>
    <col min="2" max="2" width="41.6328125" customWidth="1"/>
    <col min="3" max="4" width="25" customWidth="1"/>
    <col min="5" max="5" width="20" customWidth="1"/>
    <col min="6" max="6" width="25" customWidth="1"/>
    <col min="7" max="9" width="20" customWidth="1"/>
  </cols>
  <sheetData>
    <row r="1" spans="1:9" ht="20" customHeight="1" x14ac:dyDescent="0.35">
      <c r="A1" s="1" t="s">
        <v>276</v>
      </c>
      <c r="B1" s="70" t="s">
        <v>1</v>
      </c>
      <c r="C1" s="70"/>
      <c r="D1" s="70"/>
      <c r="E1" s="70"/>
      <c r="F1" s="70"/>
      <c r="G1" s="70"/>
      <c r="H1" s="71"/>
      <c r="I1" s="70"/>
    </row>
    <row r="2" spans="1:9" ht="20" x14ac:dyDescent="0.35">
      <c r="A2" s="2"/>
      <c r="B2" s="70" t="s">
        <v>564</v>
      </c>
      <c r="C2" s="70"/>
      <c r="D2" s="70"/>
      <c r="E2" s="70"/>
      <c r="F2" s="70"/>
      <c r="G2" s="70"/>
      <c r="H2" s="71"/>
      <c r="I2" s="70"/>
    </row>
    <row r="3" spans="1:9" ht="20" customHeight="1" x14ac:dyDescent="0.35">
      <c r="A3" s="2"/>
      <c r="B3" s="70" t="s">
        <v>2</v>
      </c>
      <c r="C3" s="70"/>
      <c r="D3" s="70"/>
      <c r="E3" s="70"/>
      <c r="F3" s="70"/>
      <c r="G3" s="70"/>
      <c r="H3" s="71"/>
      <c r="I3" s="70"/>
    </row>
    <row r="4" spans="1:9" ht="13" customHeight="1" x14ac:dyDescent="0.35">
      <c r="A4" s="2"/>
      <c r="B4" s="72"/>
      <c r="C4" s="72"/>
      <c r="D4" s="72"/>
      <c r="E4" s="72"/>
      <c r="F4" s="72"/>
      <c r="G4" s="72"/>
      <c r="H4" s="72"/>
      <c r="I4" s="72"/>
    </row>
    <row r="5" spans="1:9" ht="28" customHeight="1" x14ac:dyDescent="0.35">
      <c r="A5" s="2"/>
      <c r="B5" s="3" t="s">
        <v>3</v>
      </c>
      <c r="C5" s="4" t="s">
        <v>4</v>
      </c>
      <c r="D5" s="4" t="s">
        <v>277</v>
      </c>
      <c r="E5" s="4" t="s">
        <v>6</v>
      </c>
      <c r="F5" s="4" t="s">
        <v>7</v>
      </c>
      <c r="G5" s="4" t="s">
        <v>8</v>
      </c>
      <c r="H5" s="5" t="s">
        <v>9</v>
      </c>
      <c r="I5" s="5" t="s">
        <v>610</v>
      </c>
    </row>
    <row r="6" spans="1:9" ht="13" customHeight="1" x14ac:dyDescent="0.35">
      <c r="A6" s="2"/>
      <c r="B6" s="6" t="s">
        <v>10</v>
      </c>
      <c r="C6" s="7"/>
      <c r="D6" s="7"/>
      <c r="E6" s="7"/>
      <c r="F6" s="7"/>
      <c r="G6" s="7"/>
      <c r="H6" s="8"/>
      <c r="I6" s="8"/>
    </row>
    <row r="7" spans="1:9" ht="13" customHeight="1" x14ac:dyDescent="0.35">
      <c r="A7" s="2"/>
      <c r="B7" s="6" t="s">
        <v>11</v>
      </c>
      <c r="C7" s="9"/>
      <c r="D7" s="9"/>
      <c r="E7" s="7"/>
      <c r="F7" s="7"/>
      <c r="G7" s="7"/>
      <c r="H7" s="8"/>
      <c r="I7" s="8"/>
    </row>
    <row r="8" spans="1:9" ht="13" customHeight="1" x14ac:dyDescent="0.35">
      <c r="A8" s="1" t="s">
        <v>12</v>
      </c>
      <c r="B8" s="10" t="s">
        <v>13</v>
      </c>
      <c r="C8" s="11" t="s">
        <v>14</v>
      </c>
      <c r="D8" s="7" t="s">
        <v>15</v>
      </c>
      <c r="E8" s="12">
        <v>136593</v>
      </c>
      <c r="F8" s="13">
        <v>1805.35</v>
      </c>
      <c r="G8" s="13">
        <v>3.72</v>
      </c>
      <c r="H8" s="24"/>
      <c r="I8" s="24"/>
    </row>
    <row r="9" spans="1:9" ht="13" customHeight="1" x14ac:dyDescent="0.35">
      <c r="A9" s="1" t="s">
        <v>278</v>
      </c>
      <c r="B9" s="10" t="s">
        <v>279</v>
      </c>
      <c r="C9" s="11" t="s">
        <v>280</v>
      </c>
      <c r="D9" s="7" t="s">
        <v>15</v>
      </c>
      <c r="E9" s="12">
        <v>346072</v>
      </c>
      <c r="F9" s="13">
        <v>1443.12</v>
      </c>
      <c r="G9" s="13">
        <v>2.97</v>
      </c>
      <c r="H9" s="24"/>
      <c r="I9" s="24"/>
    </row>
    <row r="10" spans="1:9" ht="13" customHeight="1" x14ac:dyDescent="0.35">
      <c r="A10" s="1" t="s">
        <v>281</v>
      </c>
      <c r="B10" s="10" t="s">
        <v>282</v>
      </c>
      <c r="C10" s="11" t="s">
        <v>283</v>
      </c>
      <c r="D10" s="7" t="s">
        <v>159</v>
      </c>
      <c r="E10" s="12">
        <v>84766</v>
      </c>
      <c r="F10" s="13">
        <v>1422.37</v>
      </c>
      <c r="G10" s="13">
        <v>2.93</v>
      </c>
      <c r="H10" s="24"/>
      <c r="I10" s="24"/>
    </row>
    <row r="11" spans="1:9" ht="13" customHeight="1" x14ac:dyDescent="0.35">
      <c r="A11" s="1" t="s">
        <v>86</v>
      </c>
      <c r="B11" s="10" t="s">
        <v>87</v>
      </c>
      <c r="C11" s="11" t="s">
        <v>88</v>
      </c>
      <c r="D11" s="7" t="s">
        <v>75</v>
      </c>
      <c r="E11" s="12">
        <v>13949</v>
      </c>
      <c r="F11" s="13">
        <v>1296.07</v>
      </c>
      <c r="G11" s="13">
        <v>2.67</v>
      </c>
      <c r="H11" s="24"/>
      <c r="I11" s="24"/>
    </row>
    <row r="12" spans="1:9" ht="13" customHeight="1" x14ac:dyDescent="0.35">
      <c r="A12" s="1" t="s">
        <v>284</v>
      </c>
      <c r="B12" s="10" t="s">
        <v>285</v>
      </c>
      <c r="C12" s="11" t="s">
        <v>286</v>
      </c>
      <c r="D12" s="7" t="s">
        <v>75</v>
      </c>
      <c r="E12" s="12">
        <v>50075</v>
      </c>
      <c r="F12" s="13">
        <v>1253.78</v>
      </c>
      <c r="G12" s="13">
        <v>2.58</v>
      </c>
      <c r="H12" s="24"/>
      <c r="I12" s="24"/>
    </row>
    <row r="13" spans="1:9" ht="13" customHeight="1" x14ac:dyDescent="0.35">
      <c r="A13" s="1" t="s">
        <v>287</v>
      </c>
      <c r="B13" s="10" t="s">
        <v>288</v>
      </c>
      <c r="C13" s="11" t="s">
        <v>289</v>
      </c>
      <c r="D13" s="7" t="s">
        <v>136</v>
      </c>
      <c r="E13" s="12">
        <v>182010</v>
      </c>
      <c r="F13" s="13">
        <v>1246.8599999999999</v>
      </c>
      <c r="G13" s="13">
        <v>2.57</v>
      </c>
      <c r="H13" s="24"/>
      <c r="I13" s="24"/>
    </row>
    <row r="14" spans="1:9" ht="13" customHeight="1" x14ac:dyDescent="0.35">
      <c r="A14" s="1" t="s">
        <v>290</v>
      </c>
      <c r="B14" s="10" t="s">
        <v>291</v>
      </c>
      <c r="C14" s="11" t="s">
        <v>292</v>
      </c>
      <c r="D14" s="7" t="s">
        <v>52</v>
      </c>
      <c r="E14" s="12">
        <v>35815</v>
      </c>
      <c r="F14" s="13">
        <v>1182.04</v>
      </c>
      <c r="G14" s="13">
        <v>2.4300000000000002</v>
      </c>
      <c r="H14" s="24"/>
      <c r="I14" s="24"/>
    </row>
    <row r="15" spans="1:9" ht="13" customHeight="1" x14ac:dyDescent="0.35">
      <c r="A15" s="1" t="s">
        <v>293</v>
      </c>
      <c r="B15" s="10" t="s">
        <v>294</v>
      </c>
      <c r="C15" s="11" t="s">
        <v>295</v>
      </c>
      <c r="D15" s="7" t="s">
        <v>15</v>
      </c>
      <c r="E15" s="12">
        <v>93103</v>
      </c>
      <c r="F15" s="13">
        <v>1141.44</v>
      </c>
      <c r="G15" s="13">
        <v>2.35</v>
      </c>
      <c r="H15" s="24"/>
      <c r="I15" s="24"/>
    </row>
    <row r="16" spans="1:9" ht="13" customHeight="1" x14ac:dyDescent="0.35">
      <c r="A16" s="1" t="s">
        <v>296</v>
      </c>
      <c r="B16" s="10" t="s">
        <v>297</v>
      </c>
      <c r="C16" s="11" t="s">
        <v>298</v>
      </c>
      <c r="D16" s="7" t="s">
        <v>41</v>
      </c>
      <c r="E16" s="12">
        <v>47892</v>
      </c>
      <c r="F16" s="13">
        <v>1063.68</v>
      </c>
      <c r="G16" s="13">
        <v>2.19</v>
      </c>
      <c r="H16" s="24"/>
      <c r="I16" s="24"/>
    </row>
    <row r="17" spans="1:9" ht="13" customHeight="1" x14ac:dyDescent="0.35">
      <c r="A17" s="1" t="s">
        <v>16</v>
      </c>
      <c r="B17" s="10" t="s">
        <v>17</v>
      </c>
      <c r="C17" s="11" t="s">
        <v>18</v>
      </c>
      <c r="D17" s="7" t="s">
        <v>15</v>
      </c>
      <c r="E17" s="12">
        <v>150000</v>
      </c>
      <c r="F17" s="13">
        <v>1063.05</v>
      </c>
      <c r="G17" s="13">
        <v>2.19</v>
      </c>
      <c r="H17" s="24"/>
      <c r="I17" s="24"/>
    </row>
    <row r="18" spans="1:9" ht="13" customHeight="1" x14ac:dyDescent="0.35">
      <c r="A18" s="1" t="s">
        <v>76</v>
      </c>
      <c r="B18" s="10" t="s">
        <v>77</v>
      </c>
      <c r="C18" s="11" t="s">
        <v>78</v>
      </c>
      <c r="D18" s="7" t="s">
        <v>52</v>
      </c>
      <c r="E18" s="12">
        <v>572536</v>
      </c>
      <c r="F18" s="13">
        <v>1052.95</v>
      </c>
      <c r="G18" s="13">
        <v>2.17</v>
      </c>
      <c r="H18" s="24"/>
      <c r="I18" s="24"/>
    </row>
    <row r="19" spans="1:9" ht="13" customHeight="1" x14ac:dyDescent="0.35">
      <c r="A19" s="1" t="s">
        <v>299</v>
      </c>
      <c r="B19" s="10" t="s">
        <v>300</v>
      </c>
      <c r="C19" s="11" t="s">
        <v>301</v>
      </c>
      <c r="D19" s="7" t="s">
        <v>302</v>
      </c>
      <c r="E19" s="12">
        <v>266834</v>
      </c>
      <c r="F19" s="13">
        <v>1036.1199999999999</v>
      </c>
      <c r="G19" s="13">
        <v>2.13</v>
      </c>
      <c r="H19" s="24"/>
      <c r="I19" s="24"/>
    </row>
    <row r="20" spans="1:9" ht="13" customHeight="1" x14ac:dyDescent="0.35">
      <c r="A20" s="1" t="s">
        <v>303</v>
      </c>
      <c r="B20" s="10" t="s">
        <v>304</v>
      </c>
      <c r="C20" s="11" t="s">
        <v>305</v>
      </c>
      <c r="D20" s="7" t="s">
        <v>115</v>
      </c>
      <c r="E20" s="12">
        <v>49778</v>
      </c>
      <c r="F20" s="13">
        <v>1017.41</v>
      </c>
      <c r="G20" s="13">
        <v>2.09</v>
      </c>
      <c r="H20" s="24"/>
      <c r="I20" s="24"/>
    </row>
    <row r="21" spans="1:9" ht="13" customHeight="1" x14ac:dyDescent="0.35">
      <c r="A21" s="1" t="s">
        <v>306</v>
      </c>
      <c r="B21" s="10" t="s">
        <v>307</v>
      </c>
      <c r="C21" s="11" t="s">
        <v>308</v>
      </c>
      <c r="D21" s="7" t="s">
        <v>41</v>
      </c>
      <c r="E21" s="12">
        <v>38097</v>
      </c>
      <c r="F21" s="13">
        <v>1012.05</v>
      </c>
      <c r="G21" s="13">
        <v>2.08</v>
      </c>
      <c r="H21" s="24"/>
      <c r="I21" s="24"/>
    </row>
    <row r="22" spans="1:9" ht="13" customHeight="1" x14ac:dyDescent="0.35">
      <c r="A22" s="1" t="s">
        <v>309</v>
      </c>
      <c r="B22" s="10" t="s">
        <v>310</v>
      </c>
      <c r="C22" s="11" t="s">
        <v>311</v>
      </c>
      <c r="D22" s="7" t="s">
        <v>64</v>
      </c>
      <c r="E22" s="12">
        <v>21033</v>
      </c>
      <c r="F22" s="13">
        <v>1001.17</v>
      </c>
      <c r="G22" s="13">
        <v>2.06</v>
      </c>
      <c r="H22" s="24"/>
      <c r="I22" s="24"/>
    </row>
    <row r="23" spans="1:9" ht="13" customHeight="1" x14ac:dyDescent="0.35">
      <c r="A23" s="1" t="s">
        <v>312</v>
      </c>
      <c r="B23" s="10" t="s">
        <v>313</v>
      </c>
      <c r="C23" s="11" t="s">
        <v>314</v>
      </c>
      <c r="D23" s="7" t="s">
        <v>115</v>
      </c>
      <c r="E23" s="12">
        <v>251172</v>
      </c>
      <c r="F23" s="13">
        <v>955.96</v>
      </c>
      <c r="G23" s="13">
        <v>1.97</v>
      </c>
      <c r="H23" s="24"/>
      <c r="I23" s="24"/>
    </row>
    <row r="24" spans="1:9" ht="13" customHeight="1" x14ac:dyDescent="0.35">
      <c r="A24" s="1" t="s">
        <v>315</v>
      </c>
      <c r="B24" s="10" t="s">
        <v>316</v>
      </c>
      <c r="C24" s="11" t="s">
        <v>317</v>
      </c>
      <c r="D24" s="7" t="s">
        <v>15</v>
      </c>
      <c r="E24" s="12">
        <v>290306</v>
      </c>
      <c r="F24" s="13">
        <v>942.91</v>
      </c>
      <c r="G24" s="13">
        <v>1.94</v>
      </c>
      <c r="H24" s="24"/>
      <c r="I24" s="24"/>
    </row>
    <row r="25" spans="1:9" ht="13" customHeight="1" x14ac:dyDescent="0.35">
      <c r="A25" s="1" t="s">
        <v>130</v>
      </c>
      <c r="B25" s="10" t="s">
        <v>131</v>
      </c>
      <c r="C25" s="11" t="s">
        <v>132</v>
      </c>
      <c r="D25" s="7" t="s">
        <v>96</v>
      </c>
      <c r="E25" s="12">
        <v>47153</v>
      </c>
      <c r="F25" s="13">
        <v>939.48</v>
      </c>
      <c r="G25" s="13">
        <v>1.93</v>
      </c>
      <c r="H25" s="24"/>
      <c r="I25" s="24"/>
    </row>
    <row r="26" spans="1:9" ht="13" customHeight="1" x14ac:dyDescent="0.35">
      <c r="A26" s="1" t="s">
        <v>318</v>
      </c>
      <c r="B26" s="10" t="s">
        <v>319</v>
      </c>
      <c r="C26" s="11" t="s">
        <v>320</v>
      </c>
      <c r="D26" s="7" t="s">
        <v>100</v>
      </c>
      <c r="E26" s="12">
        <v>47645</v>
      </c>
      <c r="F26" s="13">
        <v>921.93</v>
      </c>
      <c r="G26" s="13">
        <v>1.9</v>
      </c>
      <c r="H26" s="24"/>
      <c r="I26" s="24"/>
    </row>
    <row r="27" spans="1:9" ht="13" customHeight="1" x14ac:dyDescent="0.35">
      <c r="A27" s="1" t="s">
        <v>321</v>
      </c>
      <c r="B27" s="10" t="s">
        <v>322</v>
      </c>
      <c r="C27" s="11" t="s">
        <v>323</v>
      </c>
      <c r="D27" s="7" t="s">
        <v>82</v>
      </c>
      <c r="E27" s="12">
        <v>12864</v>
      </c>
      <c r="F27" s="13">
        <v>919.78</v>
      </c>
      <c r="G27" s="13">
        <v>1.89</v>
      </c>
      <c r="H27" s="24"/>
      <c r="I27" s="24"/>
    </row>
    <row r="28" spans="1:9" ht="13" customHeight="1" x14ac:dyDescent="0.35">
      <c r="A28" s="1" t="s">
        <v>324</v>
      </c>
      <c r="B28" s="10" t="s">
        <v>325</v>
      </c>
      <c r="C28" s="11" t="s">
        <v>326</v>
      </c>
      <c r="D28" s="7" t="s">
        <v>41</v>
      </c>
      <c r="E28" s="12">
        <v>180651</v>
      </c>
      <c r="F28" s="13">
        <v>918.16</v>
      </c>
      <c r="G28" s="13">
        <v>1.89</v>
      </c>
      <c r="H28" s="24"/>
      <c r="I28" s="24"/>
    </row>
    <row r="29" spans="1:9" ht="13" customHeight="1" x14ac:dyDescent="0.35">
      <c r="A29" s="1" t="s">
        <v>327</v>
      </c>
      <c r="B29" s="10" t="s">
        <v>328</v>
      </c>
      <c r="C29" s="11" t="s">
        <v>329</v>
      </c>
      <c r="D29" s="7" t="s">
        <v>75</v>
      </c>
      <c r="E29" s="12">
        <v>17699</v>
      </c>
      <c r="F29" s="13">
        <v>913.89</v>
      </c>
      <c r="G29" s="13">
        <v>1.88</v>
      </c>
      <c r="H29" s="24"/>
      <c r="I29" s="24"/>
    </row>
    <row r="30" spans="1:9" ht="13" customHeight="1" x14ac:dyDescent="0.35">
      <c r="A30" s="1" t="s">
        <v>330</v>
      </c>
      <c r="B30" s="10" t="s">
        <v>331</v>
      </c>
      <c r="C30" s="11" t="s">
        <v>332</v>
      </c>
      <c r="D30" s="7" t="s">
        <v>333</v>
      </c>
      <c r="E30" s="12">
        <v>69389</v>
      </c>
      <c r="F30" s="13">
        <v>911.98</v>
      </c>
      <c r="G30" s="13">
        <v>1.88</v>
      </c>
      <c r="H30" s="24"/>
      <c r="I30" s="24"/>
    </row>
    <row r="31" spans="1:9" ht="13" customHeight="1" x14ac:dyDescent="0.35">
      <c r="A31" s="1" t="s">
        <v>146</v>
      </c>
      <c r="B31" s="10" t="s">
        <v>147</v>
      </c>
      <c r="C31" s="11" t="s">
        <v>148</v>
      </c>
      <c r="D31" s="7" t="s">
        <v>82</v>
      </c>
      <c r="E31" s="12">
        <v>8246</v>
      </c>
      <c r="F31" s="13">
        <v>896.67</v>
      </c>
      <c r="G31" s="13">
        <v>1.85</v>
      </c>
      <c r="H31" s="24"/>
      <c r="I31" s="24"/>
    </row>
    <row r="32" spans="1:9" ht="13" customHeight="1" x14ac:dyDescent="0.35">
      <c r="A32" s="1" t="s">
        <v>334</v>
      </c>
      <c r="B32" s="10" t="s">
        <v>335</v>
      </c>
      <c r="C32" s="11" t="s">
        <v>336</v>
      </c>
      <c r="D32" s="7" t="s">
        <v>92</v>
      </c>
      <c r="E32" s="12">
        <v>117818</v>
      </c>
      <c r="F32" s="13">
        <v>880.57</v>
      </c>
      <c r="G32" s="13">
        <v>1.81</v>
      </c>
      <c r="H32" s="24"/>
      <c r="I32" s="24"/>
    </row>
    <row r="33" spans="1:9" ht="13" customHeight="1" x14ac:dyDescent="0.35">
      <c r="A33" s="1" t="s">
        <v>337</v>
      </c>
      <c r="B33" s="10" t="s">
        <v>338</v>
      </c>
      <c r="C33" s="11" t="s">
        <v>339</v>
      </c>
      <c r="D33" s="7" t="s">
        <v>15</v>
      </c>
      <c r="E33" s="12">
        <v>1252963</v>
      </c>
      <c r="F33" s="13">
        <v>863.67</v>
      </c>
      <c r="G33" s="13">
        <v>1.78</v>
      </c>
      <c r="H33" s="24"/>
      <c r="I33" s="24"/>
    </row>
    <row r="34" spans="1:9" ht="13" customHeight="1" x14ac:dyDescent="0.35">
      <c r="A34" s="1" t="s">
        <v>340</v>
      </c>
      <c r="B34" s="10" t="s">
        <v>341</v>
      </c>
      <c r="C34" s="11" t="s">
        <v>342</v>
      </c>
      <c r="D34" s="7" t="s">
        <v>25</v>
      </c>
      <c r="E34" s="12">
        <v>172487</v>
      </c>
      <c r="F34" s="13">
        <v>853.29</v>
      </c>
      <c r="G34" s="13">
        <v>1.76</v>
      </c>
      <c r="H34" s="24"/>
      <c r="I34" s="24"/>
    </row>
    <row r="35" spans="1:9" ht="13" customHeight="1" x14ac:dyDescent="0.35">
      <c r="A35" s="1" t="s">
        <v>343</v>
      </c>
      <c r="B35" s="10" t="s">
        <v>344</v>
      </c>
      <c r="C35" s="11" t="s">
        <v>345</v>
      </c>
      <c r="D35" s="7" t="s">
        <v>75</v>
      </c>
      <c r="E35" s="12">
        <v>63228</v>
      </c>
      <c r="F35" s="13">
        <v>851.05</v>
      </c>
      <c r="G35" s="13">
        <v>1.75</v>
      </c>
      <c r="H35" s="24"/>
      <c r="I35" s="24"/>
    </row>
    <row r="36" spans="1:9" ht="13" customHeight="1" x14ac:dyDescent="0.35">
      <c r="A36" s="1" t="s">
        <v>346</v>
      </c>
      <c r="B36" s="10" t="s">
        <v>347</v>
      </c>
      <c r="C36" s="11" t="s">
        <v>348</v>
      </c>
      <c r="D36" s="7" t="s">
        <v>349</v>
      </c>
      <c r="E36" s="12">
        <v>7694</v>
      </c>
      <c r="F36" s="13">
        <v>842.95</v>
      </c>
      <c r="G36" s="13">
        <v>1.73</v>
      </c>
      <c r="H36" s="24"/>
      <c r="I36" s="24"/>
    </row>
    <row r="37" spans="1:9" ht="13" customHeight="1" x14ac:dyDescent="0.35">
      <c r="A37" s="1" t="s">
        <v>350</v>
      </c>
      <c r="B37" s="10" t="s">
        <v>351</v>
      </c>
      <c r="C37" s="11" t="s">
        <v>352</v>
      </c>
      <c r="D37" s="7" t="s">
        <v>56</v>
      </c>
      <c r="E37" s="12">
        <v>104020</v>
      </c>
      <c r="F37" s="13">
        <v>826.28</v>
      </c>
      <c r="G37" s="13">
        <v>1.7</v>
      </c>
      <c r="H37" s="24"/>
      <c r="I37" s="24"/>
    </row>
    <row r="38" spans="1:9" ht="13" customHeight="1" x14ac:dyDescent="0.35">
      <c r="A38" s="1" t="s">
        <v>353</v>
      </c>
      <c r="B38" s="10" t="s">
        <v>354</v>
      </c>
      <c r="C38" s="11" t="s">
        <v>355</v>
      </c>
      <c r="D38" s="7" t="s">
        <v>136</v>
      </c>
      <c r="E38" s="12">
        <v>66415</v>
      </c>
      <c r="F38" s="13">
        <v>809.93</v>
      </c>
      <c r="G38" s="13">
        <v>1.67</v>
      </c>
      <c r="H38" s="24"/>
      <c r="I38" s="24"/>
    </row>
    <row r="39" spans="1:9" ht="13" customHeight="1" x14ac:dyDescent="0.35">
      <c r="A39" s="1" t="s">
        <v>356</v>
      </c>
      <c r="B39" s="10" t="s">
        <v>357</v>
      </c>
      <c r="C39" s="11" t="s">
        <v>358</v>
      </c>
      <c r="D39" s="7" t="s">
        <v>82</v>
      </c>
      <c r="E39" s="12">
        <v>39555</v>
      </c>
      <c r="F39" s="13">
        <v>803.36</v>
      </c>
      <c r="G39" s="13">
        <v>1.65</v>
      </c>
      <c r="H39" s="24"/>
      <c r="I39" s="24"/>
    </row>
    <row r="40" spans="1:9" ht="13" customHeight="1" x14ac:dyDescent="0.35">
      <c r="A40" s="1" t="s">
        <v>359</v>
      </c>
      <c r="B40" s="10" t="s">
        <v>360</v>
      </c>
      <c r="C40" s="11" t="s">
        <v>361</v>
      </c>
      <c r="D40" s="7" t="s">
        <v>115</v>
      </c>
      <c r="E40" s="12">
        <v>81223</v>
      </c>
      <c r="F40" s="13">
        <v>798.18</v>
      </c>
      <c r="G40" s="13">
        <v>1.64</v>
      </c>
      <c r="H40" s="24"/>
      <c r="I40" s="24"/>
    </row>
    <row r="41" spans="1:9" ht="13" customHeight="1" x14ac:dyDescent="0.35">
      <c r="A41" s="1" t="s">
        <v>362</v>
      </c>
      <c r="B41" s="10" t="s">
        <v>363</v>
      </c>
      <c r="C41" s="11" t="s">
        <v>364</v>
      </c>
      <c r="D41" s="7" t="s">
        <v>119</v>
      </c>
      <c r="E41" s="12">
        <v>46696</v>
      </c>
      <c r="F41" s="13">
        <v>792.15</v>
      </c>
      <c r="G41" s="13">
        <v>1.63</v>
      </c>
      <c r="H41" s="24"/>
      <c r="I41" s="24"/>
    </row>
    <row r="42" spans="1:9" ht="13" customHeight="1" x14ac:dyDescent="0.35">
      <c r="A42" s="1" t="s">
        <v>65</v>
      </c>
      <c r="B42" s="10" t="s">
        <v>66</v>
      </c>
      <c r="C42" s="11" t="s">
        <v>67</v>
      </c>
      <c r="D42" s="7" t="s">
        <v>52</v>
      </c>
      <c r="E42" s="12">
        <v>74661</v>
      </c>
      <c r="F42" s="13">
        <v>769.01</v>
      </c>
      <c r="G42" s="13">
        <v>1.58</v>
      </c>
      <c r="H42" s="24"/>
      <c r="I42" s="24"/>
    </row>
    <row r="43" spans="1:9" ht="13" customHeight="1" x14ac:dyDescent="0.35">
      <c r="A43" s="1" t="s">
        <v>365</v>
      </c>
      <c r="B43" s="10" t="s">
        <v>366</v>
      </c>
      <c r="C43" s="11" t="s">
        <v>367</v>
      </c>
      <c r="D43" s="7" t="s">
        <v>60</v>
      </c>
      <c r="E43" s="12">
        <v>11440</v>
      </c>
      <c r="F43" s="13">
        <v>763.33</v>
      </c>
      <c r="G43" s="13">
        <v>1.57</v>
      </c>
      <c r="H43" s="24"/>
      <c r="I43" s="24"/>
    </row>
    <row r="44" spans="1:9" ht="13" customHeight="1" x14ac:dyDescent="0.35">
      <c r="A44" s="1" t="s">
        <v>368</v>
      </c>
      <c r="B44" s="10" t="s">
        <v>369</v>
      </c>
      <c r="C44" s="11" t="s">
        <v>370</v>
      </c>
      <c r="D44" s="7" t="s">
        <v>37</v>
      </c>
      <c r="E44" s="12">
        <v>52774</v>
      </c>
      <c r="F44" s="13">
        <v>751.77</v>
      </c>
      <c r="G44" s="13">
        <v>1.55</v>
      </c>
      <c r="H44" s="24"/>
      <c r="I44" s="24"/>
    </row>
    <row r="45" spans="1:9" ht="13" customHeight="1" x14ac:dyDescent="0.35">
      <c r="A45" s="1" t="s">
        <v>170</v>
      </c>
      <c r="B45" s="10" t="s">
        <v>171</v>
      </c>
      <c r="C45" s="11" t="s">
        <v>172</v>
      </c>
      <c r="D45" s="7" t="s">
        <v>75</v>
      </c>
      <c r="E45" s="12">
        <v>72713</v>
      </c>
      <c r="F45" s="13">
        <v>748.07</v>
      </c>
      <c r="G45" s="13">
        <v>1.54</v>
      </c>
      <c r="H45" s="24"/>
      <c r="I45" s="24"/>
    </row>
    <row r="46" spans="1:9" ht="13" customHeight="1" x14ac:dyDescent="0.35">
      <c r="A46" s="1" t="s">
        <v>371</v>
      </c>
      <c r="B46" s="10" t="s">
        <v>372</v>
      </c>
      <c r="C46" s="11" t="s">
        <v>373</v>
      </c>
      <c r="D46" s="7" t="s">
        <v>41</v>
      </c>
      <c r="E46" s="12">
        <v>456585</v>
      </c>
      <c r="F46" s="13">
        <v>745.42</v>
      </c>
      <c r="G46" s="13">
        <v>1.53</v>
      </c>
      <c r="H46" s="24"/>
      <c r="I46" s="24"/>
    </row>
    <row r="47" spans="1:9" ht="13" customHeight="1" x14ac:dyDescent="0.35">
      <c r="A47" s="1" t="s">
        <v>374</v>
      </c>
      <c r="B47" s="10" t="s">
        <v>375</v>
      </c>
      <c r="C47" s="11" t="s">
        <v>376</v>
      </c>
      <c r="D47" s="7" t="s">
        <v>15</v>
      </c>
      <c r="E47" s="12">
        <v>899844</v>
      </c>
      <c r="F47" s="13">
        <v>732.83</v>
      </c>
      <c r="G47" s="13">
        <v>1.51</v>
      </c>
      <c r="H47" s="24"/>
      <c r="I47" s="24"/>
    </row>
    <row r="48" spans="1:9" ht="13" customHeight="1" x14ac:dyDescent="0.35">
      <c r="A48" s="1" t="s">
        <v>68</v>
      </c>
      <c r="B48" s="10" t="s">
        <v>69</v>
      </c>
      <c r="C48" s="11" t="s">
        <v>70</v>
      </c>
      <c r="D48" s="7" t="s">
        <v>71</v>
      </c>
      <c r="E48" s="12">
        <v>174135</v>
      </c>
      <c r="F48" s="13">
        <v>719</v>
      </c>
      <c r="G48" s="13">
        <v>1.48</v>
      </c>
      <c r="H48" s="24"/>
      <c r="I48" s="24"/>
    </row>
    <row r="49" spans="1:9" ht="13" customHeight="1" x14ac:dyDescent="0.35">
      <c r="A49" s="1" t="s">
        <v>377</v>
      </c>
      <c r="B49" s="10" t="s">
        <v>378</v>
      </c>
      <c r="C49" s="11" t="s">
        <v>379</v>
      </c>
      <c r="D49" s="7" t="s">
        <v>15</v>
      </c>
      <c r="E49" s="12">
        <v>88983</v>
      </c>
      <c r="F49" s="13">
        <v>717.11</v>
      </c>
      <c r="G49" s="13">
        <v>1.48</v>
      </c>
      <c r="H49" s="24"/>
      <c r="I49" s="24"/>
    </row>
    <row r="50" spans="1:9" ht="13" customHeight="1" x14ac:dyDescent="0.35">
      <c r="A50" s="1" t="s">
        <v>380</v>
      </c>
      <c r="B50" s="10" t="s">
        <v>381</v>
      </c>
      <c r="C50" s="11" t="s">
        <v>382</v>
      </c>
      <c r="D50" s="7" t="s">
        <v>52</v>
      </c>
      <c r="E50" s="12">
        <v>65874</v>
      </c>
      <c r="F50" s="13">
        <v>704.85</v>
      </c>
      <c r="G50" s="13">
        <v>1.45</v>
      </c>
      <c r="H50" s="24"/>
      <c r="I50" s="24"/>
    </row>
    <row r="51" spans="1:9" ht="13" customHeight="1" x14ac:dyDescent="0.35">
      <c r="A51" s="1" t="s">
        <v>123</v>
      </c>
      <c r="B51" s="10" t="s">
        <v>124</v>
      </c>
      <c r="C51" s="11" t="s">
        <v>125</v>
      </c>
      <c r="D51" s="7" t="s">
        <v>126</v>
      </c>
      <c r="E51" s="12">
        <v>6361</v>
      </c>
      <c r="F51" s="13">
        <v>676.17</v>
      </c>
      <c r="G51" s="13">
        <v>1.39</v>
      </c>
      <c r="H51" s="24"/>
      <c r="I51" s="24"/>
    </row>
    <row r="52" spans="1:9" ht="13" customHeight="1" x14ac:dyDescent="0.35">
      <c r="A52" s="1" t="s">
        <v>101</v>
      </c>
      <c r="B52" s="10" t="s">
        <v>102</v>
      </c>
      <c r="C52" s="11" t="s">
        <v>103</v>
      </c>
      <c r="D52" s="7" t="s">
        <v>104</v>
      </c>
      <c r="E52" s="12">
        <v>48859</v>
      </c>
      <c r="F52" s="13">
        <v>661.55</v>
      </c>
      <c r="G52" s="13">
        <v>1.36</v>
      </c>
      <c r="H52" s="24"/>
      <c r="I52" s="24"/>
    </row>
    <row r="53" spans="1:9" ht="13" customHeight="1" x14ac:dyDescent="0.35">
      <c r="A53" s="1" t="s">
        <v>383</v>
      </c>
      <c r="B53" s="10" t="s">
        <v>384</v>
      </c>
      <c r="C53" s="11" t="s">
        <v>385</v>
      </c>
      <c r="D53" s="7" t="s">
        <v>386</v>
      </c>
      <c r="E53" s="12">
        <v>159631</v>
      </c>
      <c r="F53" s="13">
        <v>654.01</v>
      </c>
      <c r="G53" s="13">
        <v>1.35</v>
      </c>
      <c r="H53" s="24"/>
      <c r="I53" s="24"/>
    </row>
    <row r="54" spans="1:9" ht="13" customHeight="1" x14ac:dyDescent="0.35">
      <c r="A54" s="1" t="s">
        <v>387</v>
      </c>
      <c r="B54" s="10" t="s">
        <v>388</v>
      </c>
      <c r="C54" s="11" t="s">
        <v>389</v>
      </c>
      <c r="D54" s="7" t="s">
        <v>100</v>
      </c>
      <c r="E54" s="12">
        <v>103173</v>
      </c>
      <c r="F54" s="13">
        <v>593.5</v>
      </c>
      <c r="G54" s="13">
        <v>1.22</v>
      </c>
      <c r="H54" s="24"/>
      <c r="I54" s="24"/>
    </row>
    <row r="55" spans="1:9" ht="13" customHeight="1" x14ac:dyDescent="0.35">
      <c r="A55" s="1" t="s">
        <v>156</v>
      </c>
      <c r="B55" s="10" t="s">
        <v>157</v>
      </c>
      <c r="C55" s="11" t="s">
        <v>158</v>
      </c>
      <c r="D55" s="7" t="s">
        <v>159</v>
      </c>
      <c r="E55" s="12">
        <v>54255</v>
      </c>
      <c r="F55" s="13">
        <v>577.22</v>
      </c>
      <c r="G55" s="13">
        <v>1.19</v>
      </c>
      <c r="H55" s="24"/>
      <c r="I55" s="24"/>
    </row>
    <row r="56" spans="1:9" ht="13" customHeight="1" x14ac:dyDescent="0.35">
      <c r="A56" s="1" t="s">
        <v>390</v>
      </c>
      <c r="B56" s="10" t="s">
        <v>391</v>
      </c>
      <c r="C56" s="11" t="s">
        <v>392</v>
      </c>
      <c r="D56" s="7" t="s">
        <v>393</v>
      </c>
      <c r="E56" s="12">
        <v>41946</v>
      </c>
      <c r="F56" s="13">
        <v>551.59</v>
      </c>
      <c r="G56" s="13">
        <v>1.1399999999999999</v>
      </c>
      <c r="H56" s="24"/>
      <c r="I56" s="24"/>
    </row>
    <row r="57" spans="1:9" ht="13" customHeight="1" x14ac:dyDescent="0.35">
      <c r="A57" s="1" t="s">
        <v>394</v>
      </c>
      <c r="B57" s="10" t="s">
        <v>395</v>
      </c>
      <c r="C57" s="11" t="s">
        <v>396</v>
      </c>
      <c r="D57" s="7" t="s">
        <v>48</v>
      </c>
      <c r="E57" s="12">
        <v>256092</v>
      </c>
      <c r="F57" s="13">
        <v>417.15</v>
      </c>
      <c r="G57" s="13">
        <v>0.86</v>
      </c>
      <c r="H57" s="24"/>
      <c r="I57" s="24"/>
    </row>
    <row r="58" spans="1:9" ht="13" customHeight="1" x14ac:dyDescent="0.35">
      <c r="A58" s="2"/>
      <c r="B58" s="6" t="s">
        <v>176</v>
      </c>
      <c r="C58" s="7"/>
      <c r="D58" s="7"/>
      <c r="E58" s="7"/>
      <c r="F58" s="15">
        <v>45462.23</v>
      </c>
      <c r="G58" s="15">
        <v>93.58</v>
      </c>
      <c r="H58" s="14"/>
      <c r="I58" s="14"/>
    </row>
    <row r="59" spans="1:9" ht="13" customHeight="1" x14ac:dyDescent="0.35">
      <c r="A59" s="2"/>
      <c r="B59" s="16" t="s">
        <v>177</v>
      </c>
      <c r="C59" s="17"/>
      <c r="D59" s="17"/>
      <c r="E59" s="18"/>
      <c r="F59" s="19" t="s">
        <v>178</v>
      </c>
      <c r="G59" s="19" t="s">
        <v>178</v>
      </c>
      <c r="H59" s="20" t="s">
        <v>178</v>
      </c>
      <c r="I59" s="20"/>
    </row>
    <row r="60" spans="1:9" ht="13" customHeight="1" x14ac:dyDescent="0.35">
      <c r="A60" s="2"/>
      <c r="B60" s="21" t="s">
        <v>176</v>
      </c>
      <c r="C60" s="22"/>
      <c r="D60" s="22"/>
      <c r="E60" s="19"/>
      <c r="F60" s="19" t="s">
        <v>178</v>
      </c>
      <c r="G60" s="19" t="s">
        <v>178</v>
      </c>
      <c r="H60" s="20" t="s">
        <v>178</v>
      </c>
      <c r="I60" s="20"/>
    </row>
    <row r="61" spans="1:9" ht="13" customHeight="1" x14ac:dyDescent="0.35">
      <c r="A61" s="2"/>
      <c r="B61" s="16" t="s">
        <v>179</v>
      </c>
      <c r="C61" s="17"/>
      <c r="D61" s="17"/>
      <c r="E61" s="23"/>
      <c r="F61" s="15">
        <v>45462.23</v>
      </c>
      <c r="G61" s="15">
        <v>93.58</v>
      </c>
      <c r="H61" s="20"/>
      <c r="I61" s="20"/>
    </row>
    <row r="62" spans="1:9" ht="13" customHeight="1" x14ac:dyDescent="0.35">
      <c r="A62" s="2"/>
      <c r="B62" s="6" t="s">
        <v>180</v>
      </c>
      <c r="C62" s="7"/>
      <c r="D62" s="7"/>
      <c r="E62" s="7"/>
      <c r="F62" s="7"/>
      <c r="G62" s="7"/>
      <c r="H62" s="8"/>
      <c r="I62" s="8"/>
    </row>
    <row r="63" spans="1:9" ht="13" customHeight="1" x14ac:dyDescent="0.35">
      <c r="A63" s="2"/>
      <c r="B63" s="6" t="s">
        <v>188</v>
      </c>
      <c r="C63" s="9"/>
      <c r="D63" s="9"/>
      <c r="E63" s="7"/>
      <c r="F63" s="7"/>
      <c r="G63" s="7"/>
      <c r="H63" s="8"/>
      <c r="I63" s="8"/>
    </row>
    <row r="64" spans="1:9" ht="13" customHeight="1" x14ac:dyDescent="0.35">
      <c r="A64" s="1" t="s">
        <v>189</v>
      </c>
      <c r="B64" s="10" t="s">
        <v>190</v>
      </c>
      <c r="C64" s="11"/>
      <c r="D64" s="7"/>
      <c r="E64" s="12"/>
      <c r="F64" s="13">
        <v>3046.66</v>
      </c>
      <c r="G64" s="13">
        <v>6.27</v>
      </c>
      <c r="H64" s="24">
        <v>5.0814090005168518E-2</v>
      </c>
      <c r="I64" s="24"/>
    </row>
    <row r="65" spans="1:13" ht="13" customHeight="1" x14ac:dyDescent="0.35">
      <c r="A65" s="2"/>
      <c r="B65" s="6" t="s">
        <v>176</v>
      </c>
      <c r="C65" s="7"/>
      <c r="D65" s="7"/>
      <c r="E65" s="7"/>
      <c r="F65" s="15">
        <v>3046.66</v>
      </c>
      <c r="G65" s="15">
        <v>6.27</v>
      </c>
      <c r="H65" s="14"/>
      <c r="I65" s="14"/>
    </row>
    <row r="66" spans="1:13" ht="13" customHeight="1" x14ac:dyDescent="0.35">
      <c r="A66" s="2"/>
      <c r="B66" s="16" t="s">
        <v>179</v>
      </c>
      <c r="C66" s="17"/>
      <c r="D66" s="17"/>
      <c r="E66" s="23"/>
      <c r="F66" s="15">
        <v>3046.66</v>
      </c>
      <c r="G66" s="15">
        <v>6.27</v>
      </c>
      <c r="H66" s="20"/>
      <c r="I66" s="20"/>
    </row>
    <row r="67" spans="1:13" ht="13" customHeight="1" x14ac:dyDescent="0.35">
      <c r="A67" s="2"/>
      <c r="B67" s="16" t="s">
        <v>191</v>
      </c>
      <c r="C67" s="17"/>
      <c r="D67" s="17"/>
      <c r="E67" s="7"/>
      <c r="F67" s="15">
        <v>82.17</v>
      </c>
      <c r="G67" s="15">
        <v>0.15</v>
      </c>
      <c r="H67" s="20"/>
      <c r="I67" s="20"/>
    </row>
    <row r="68" spans="1:13" ht="13" customHeight="1" x14ac:dyDescent="0.35">
      <c r="A68" s="2"/>
      <c r="B68" s="25" t="s">
        <v>192</v>
      </c>
      <c r="C68" s="26"/>
      <c r="D68" s="26"/>
      <c r="E68" s="26"/>
      <c r="F68" s="27">
        <v>48591.06</v>
      </c>
      <c r="G68" s="28">
        <v>100</v>
      </c>
      <c r="H68" s="29"/>
      <c r="I68" s="29"/>
    </row>
    <row r="69" spans="1:13" ht="13" customHeight="1" x14ac:dyDescent="0.35">
      <c r="A69" s="2"/>
      <c r="B69" s="73"/>
      <c r="C69" s="73"/>
      <c r="D69" s="73"/>
      <c r="E69" s="73"/>
      <c r="F69" s="2"/>
      <c r="G69" s="2"/>
      <c r="H69" s="2"/>
      <c r="I69" s="2"/>
    </row>
    <row r="70" spans="1:13" ht="13" customHeight="1" x14ac:dyDescent="0.35">
      <c r="A70" s="44"/>
      <c r="B70" s="73" t="s">
        <v>193</v>
      </c>
      <c r="C70" s="73"/>
      <c r="D70" s="73"/>
      <c r="E70" s="73"/>
      <c r="F70" s="44"/>
      <c r="G70" s="44"/>
      <c r="H70" s="44"/>
      <c r="I70" s="44"/>
      <c r="J70" s="44"/>
      <c r="K70" s="44"/>
      <c r="L70" s="44"/>
      <c r="M70" s="44"/>
    </row>
    <row r="71" spans="1:13" ht="13" customHeight="1" x14ac:dyDescent="0.35">
      <c r="A71" s="44"/>
      <c r="B71" s="73" t="s">
        <v>572</v>
      </c>
      <c r="C71" s="73"/>
      <c r="D71" s="73"/>
      <c r="E71" s="73"/>
      <c r="F71" s="44"/>
      <c r="G71" s="44"/>
      <c r="H71" s="44"/>
      <c r="I71" s="44"/>
      <c r="J71" s="44"/>
      <c r="K71" s="44"/>
      <c r="L71" s="44"/>
      <c r="M71" s="44"/>
    </row>
    <row r="72" spans="1:13" ht="13" hidden="1" customHeight="1" x14ac:dyDescent="0.35">
      <c r="A72" s="44"/>
      <c r="B72" s="75" t="s">
        <v>194</v>
      </c>
      <c r="C72" s="75"/>
      <c r="D72" s="75"/>
      <c r="E72" s="75"/>
      <c r="F72" s="44"/>
      <c r="G72" s="44"/>
      <c r="H72" s="44"/>
      <c r="I72" s="44"/>
      <c r="J72" s="44"/>
      <c r="K72" s="44"/>
      <c r="L72" s="44"/>
      <c r="M72" s="44"/>
    </row>
    <row r="73" spans="1:13" ht="13" customHeight="1" x14ac:dyDescent="0.35">
      <c r="A73" s="44"/>
      <c r="B73" s="45" t="s">
        <v>526</v>
      </c>
      <c r="C73" s="46"/>
      <c r="D73" s="46"/>
      <c r="E73" s="46"/>
      <c r="F73" s="44"/>
      <c r="G73" s="44"/>
      <c r="H73" s="44"/>
      <c r="I73" s="44"/>
      <c r="J73" s="44"/>
      <c r="K73" s="44"/>
      <c r="L73" s="44"/>
      <c r="M73" s="44"/>
    </row>
    <row r="74" spans="1:13" ht="13" customHeight="1" x14ac:dyDescent="0.35">
      <c r="A74" s="44"/>
      <c r="B74" s="75"/>
      <c r="C74" s="75"/>
      <c r="D74" s="75"/>
      <c r="E74" s="75"/>
      <c r="F74" s="44"/>
      <c r="G74" s="44"/>
      <c r="H74" s="44"/>
      <c r="I74" s="44"/>
      <c r="J74" s="44"/>
      <c r="K74" s="44"/>
      <c r="L74" s="44"/>
      <c r="M74" s="44"/>
    </row>
    <row r="75" spans="1:13" ht="13" customHeight="1" x14ac:dyDescent="0.35">
      <c r="A75" s="44"/>
      <c r="B75" s="73" t="s">
        <v>195</v>
      </c>
      <c r="C75" s="73"/>
      <c r="D75" s="73"/>
      <c r="E75" s="73"/>
      <c r="F75" s="44"/>
      <c r="G75" s="44"/>
      <c r="H75" s="44"/>
      <c r="I75" s="44"/>
      <c r="J75" s="44"/>
      <c r="K75" s="44"/>
      <c r="L75" s="44"/>
      <c r="M75" s="44"/>
    </row>
    <row r="76" spans="1:13" ht="13" customHeight="1" x14ac:dyDescent="0.35">
      <c r="A76" s="44"/>
      <c r="B76" s="49" t="s">
        <v>556</v>
      </c>
      <c r="C76" s="49"/>
      <c r="D76" s="49"/>
      <c r="E76" s="49"/>
      <c r="F76" s="44"/>
      <c r="G76" s="44"/>
      <c r="H76" s="44"/>
      <c r="I76" s="44"/>
      <c r="J76" s="44"/>
      <c r="K76" s="44"/>
      <c r="L76" s="44"/>
      <c r="M76" s="44"/>
    </row>
    <row r="77" spans="1:13" ht="13" customHeight="1" x14ac:dyDescent="0.35">
      <c r="A77" s="44"/>
      <c r="B77" s="49" t="s">
        <v>527</v>
      </c>
      <c r="C77" s="49"/>
      <c r="D77" s="49"/>
      <c r="E77" s="49"/>
      <c r="F77" s="44"/>
      <c r="G77" s="44"/>
      <c r="H77" s="44"/>
      <c r="I77" s="44"/>
      <c r="J77" s="44"/>
      <c r="K77" s="44"/>
      <c r="L77" s="44"/>
      <c r="M77" s="44"/>
    </row>
    <row r="78" spans="1:13" x14ac:dyDescent="0.35">
      <c r="B78" s="51" t="s">
        <v>528</v>
      </c>
      <c r="C78" s="51"/>
      <c r="D78" s="51"/>
      <c r="E78" s="51"/>
      <c r="F78" s="44"/>
      <c r="G78" s="44"/>
      <c r="H78" s="44"/>
      <c r="I78" s="44"/>
      <c r="J78" s="44"/>
      <c r="K78" s="44"/>
      <c r="L78" s="44"/>
      <c r="M78" s="44"/>
    </row>
    <row r="79" spans="1:13" x14ac:dyDescent="0.35">
      <c r="B79" s="30" t="s">
        <v>529</v>
      </c>
      <c r="C79" s="52" t="s">
        <v>557</v>
      </c>
      <c r="D79" s="52" t="s">
        <v>530</v>
      </c>
      <c r="E79" s="44"/>
      <c r="F79" s="44"/>
      <c r="G79" s="44"/>
      <c r="H79" s="44"/>
      <c r="I79" s="44"/>
      <c r="J79" s="44"/>
      <c r="K79" s="44"/>
      <c r="L79" s="44"/>
      <c r="M79" s="44"/>
    </row>
    <row r="80" spans="1:13" x14ac:dyDescent="0.35">
      <c r="B80" s="47" t="s">
        <v>531</v>
      </c>
      <c r="C80" s="53">
        <v>9.484</v>
      </c>
      <c r="D80" s="53">
        <v>10.081</v>
      </c>
      <c r="E80" s="53"/>
      <c r="F80" s="44"/>
      <c r="G80" s="44"/>
      <c r="H80" s="44"/>
      <c r="I80" s="44"/>
      <c r="J80" s="44"/>
      <c r="K80" s="44"/>
      <c r="L80" s="44"/>
      <c r="M80" s="44"/>
    </row>
    <row r="81" spans="2:13" x14ac:dyDescent="0.35">
      <c r="B81" s="47" t="s">
        <v>534</v>
      </c>
      <c r="C81" s="53">
        <v>9.4619999999999997</v>
      </c>
      <c r="D81" s="53">
        <v>10.069000000000001</v>
      </c>
      <c r="E81" s="58"/>
      <c r="F81" s="44"/>
      <c r="G81" s="44"/>
      <c r="H81" s="44"/>
      <c r="I81" s="44"/>
      <c r="J81" s="44"/>
      <c r="K81" s="44"/>
      <c r="L81" s="44"/>
      <c r="M81" s="44"/>
    </row>
    <row r="82" spans="2:13" x14ac:dyDescent="0.35">
      <c r="B82" s="76" t="s">
        <v>568</v>
      </c>
      <c r="C82" s="76"/>
      <c r="D82" s="76"/>
      <c r="E82" s="76"/>
      <c r="F82" s="44"/>
      <c r="G82" s="44"/>
      <c r="H82" s="44"/>
      <c r="I82" s="44"/>
      <c r="J82" s="44"/>
      <c r="K82" s="44"/>
      <c r="L82" s="44"/>
      <c r="M82" s="44"/>
    </row>
    <row r="83" spans="2:13" x14ac:dyDescent="0.35">
      <c r="B83" s="78" t="s">
        <v>573</v>
      </c>
      <c r="C83" s="78"/>
      <c r="D83" s="78"/>
      <c r="E83" s="78"/>
      <c r="F83" s="44"/>
      <c r="G83" s="44"/>
      <c r="H83" s="44"/>
      <c r="I83" s="44"/>
      <c r="J83" s="44"/>
      <c r="K83" s="44"/>
      <c r="L83" s="44"/>
      <c r="M83" s="44"/>
    </row>
    <row r="84" spans="2:13" x14ac:dyDescent="0.35">
      <c r="B84" s="78" t="s">
        <v>578</v>
      </c>
      <c r="C84" s="78"/>
      <c r="D84" s="78"/>
      <c r="E84" s="78"/>
      <c r="F84" s="44"/>
      <c r="G84" s="44"/>
      <c r="H84" s="44"/>
      <c r="I84" s="44"/>
      <c r="J84" s="44"/>
      <c r="K84" s="44"/>
      <c r="L84" s="44"/>
      <c r="M84" s="44"/>
    </row>
    <row r="85" spans="2:13" x14ac:dyDescent="0.35">
      <c r="B85" s="78" t="s">
        <v>569</v>
      </c>
      <c r="C85" s="78"/>
      <c r="D85" s="78"/>
      <c r="E85" s="78"/>
      <c r="F85" s="44"/>
      <c r="G85" s="44"/>
      <c r="H85" s="44"/>
      <c r="I85" s="44"/>
      <c r="J85" s="44"/>
      <c r="K85" s="44"/>
      <c r="L85" s="44"/>
      <c r="M85" s="44"/>
    </row>
    <row r="86" spans="2:13" x14ac:dyDescent="0.35">
      <c r="B86" s="55" t="s">
        <v>579</v>
      </c>
      <c r="C86" s="56"/>
      <c r="D86" s="56"/>
      <c r="E86" s="54"/>
      <c r="F86" s="44"/>
      <c r="G86" s="44"/>
      <c r="H86" s="44"/>
      <c r="I86" s="44"/>
      <c r="J86" s="44"/>
      <c r="K86" s="44"/>
      <c r="L86" s="44"/>
      <c r="M86" s="44"/>
    </row>
    <row r="87" spans="2:13" x14ac:dyDescent="0.35">
      <c r="B87" s="77" t="s">
        <v>580</v>
      </c>
      <c r="C87" s="77"/>
      <c r="D87" s="77"/>
      <c r="E87" s="54"/>
      <c r="F87" s="44"/>
      <c r="G87" s="44"/>
      <c r="H87" s="44"/>
      <c r="I87" s="44"/>
      <c r="J87" s="44"/>
      <c r="K87" s="44"/>
      <c r="L87" s="44"/>
      <c r="M87" s="44"/>
    </row>
    <row r="88" spans="2:13" x14ac:dyDescent="0.35">
      <c r="B88" s="77" t="s">
        <v>548</v>
      </c>
      <c r="C88" s="77"/>
      <c r="D88" s="77"/>
      <c r="F88" s="44"/>
      <c r="G88" s="44"/>
      <c r="H88" s="44"/>
      <c r="I88" s="44"/>
      <c r="J88" s="44"/>
      <c r="K88" s="44"/>
      <c r="M88" s="44"/>
    </row>
    <row r="89" spans="2:13" x14ac:dyDescent="0.35">
      <c r="B89" s="77" t="s">
        <v>570</v>
      </c>
      <c r="C89" s="77"/>
      <c r="D89" s="77"/>
    </row>
    <row r="90" spans="2:13" x14ac:dyDescent="0.35">
      <c r="B90" s="77" t="s">
        <v>550</v>
      </c>
      <c r="C90" s="77"/>
      <c r="D90" s="77"/>
    </row>
    <row r="91" spans="2:13" x14ac:dyDescent="0.35">
      <c r="B91" s="57" t="s">
        <v>581</v>
      </c>
    </row>
    <row r="92" spans="2:13" x14ac:dyDescent="0.35">
      <c r="B92" t="s">
        <v>571</v>
      </c>
    </row>
    <row r="93" spans="2:13" x14ac:dyDescent="0.35">
      <c r="B93" t="s">
        <v>551</v>
      </c>
    </row>
    <row r="94" spans="2:13" x14ac:dyDescent="0.35">
      <c r="B94" t="s">
        <v>552</v>
      </c>
    </row>
    <row r="97" spans="2:2" x14ac:dyDescent="0.35">
      <c r="B97" s="74" t="s">
        <v>615</v>
      </c>
    </row>
    <row r="98" spans="2:2" x14ac:dyDescent="0.35">
      <c r="B98" s="74"/>
    </row>
    <row r="99" spans="2:2" x14ac:dyDescent="0.35">
      <c r="B99" s="74"/>
    </row>
    <row r="100" spans="2:2" x14ac:dyDescent="0.35">
      <c r="B100" s="74"/>
    </row>
    <row r="101" spans="2:2" x14ac:dyDescent="0.35">
      <c r="B101" s="74"/>
    </row>
    <row r="103" spans="2:2" x14ac:dyDescent="0.35">
      <c r="B103" s="63" t="s">
        <v>616</v>
      </c>
    </row>
    <row r="116" spans="2:2" x14ac:dyDescent="0.35">
      <c r="B116" s="66" t="s">
        <v>627</v>
      </c>
    </row>
    <row r="117" spans="2:2" x14ac:dyDescent="0.35">
      <c r="B117" s="66" t="s">
        <v>618</v>
      </c>
    </row>
  </sheetData>
  <mergeCells count="19">
    <mergeCell ref="B83:E83"/>
    <mergeCell ref="B84:E84"/>
    <mergeCell ref="B85:E85"/>
    <mergeCell ref="B97:B101"/>
    <mergeCell ref="B1:I1"/>
    <mergeCell ref="B3:I3"/>
    <mergeCell ref="B2:I2"/>
    <mergeCell ref="B4:I4"/>
    <mergeCell ref="B69:E69"/>
    <mergeCell ref="B75:E75"/>
    <mergeCell ref="B70:E70"/>
    <mergeCell ref="B71:E71"/>
    <mergeCell ref="B72:E72"/>
    <mergeCell ref="B74:E74"/>
    <mergeCell ref="B87:D87"/>
    <mergeCell ref="B88:D88"/>
    <mergeCell ref="B89:D89"/>
    <mergeCell ref="B90:D90"/>
    <mergeCell ref="B82:E82"/>
  </mergeCells>
  <pageMargins left="0" right="0" top="0" bottom="0" header="0" footer="0"/>
  <pageSetup orientation="portrait"/>
  <headerFooter>
    <oddFooter xml:space="preserve">&amp;C_x000D_&amp;1#&amp;"Aptos"&amp;10&amp;K000000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M135"/>
  <sheetViews>
    <sheetView showGridLines="0" workbookViewId="0"/>
  </sheetViews>
  <sheetFormatPr defaultRowHeight="14.5" x14ac:dyDescent="0.35"/>
  <cols>
    <col min="1" max="1" width="3.36328125" customWidth="1"/>
    <col min="2" max="2" width="41.6328125" customWidth="1"/>
    <col min="3" max="4" width="25" customWidth="1"/>
    <col min="5" max="5" width="20" customWidth="1"/>
    <col min="6" max="6" width="25" customWidth="1"/>
    <col min="7" max="9" width="20" customWidth="1"/>
  </cols>
  <sheetData>
    <row r="1" spans="1:9" ht="20" customHeight="1" x14ac:dyDescent="0.35">
      <c r="A1" s="1" t="s">
        <v>397</v>
      </c>
      <c r="B1" s="70" t="s">
        <v>1</v>
      </c>
      <c r="C1" s="70"/>
      <c r="D1" s="70"/>
      <c r="E1" s="70"/>
      <c r="F1" s="70"/>
      <c r="G1" s="70"/>
      <c r="H1" s="71"/>
      <c r="I1" s="70"/>
    </row>
    <row r="2" spans="1:9" ht="20" x14ac:dyDescent="0.35">
      <c r="A2" s="2"/>
      <c r="B2" s="70" t="s">
        <v>565</v>
      </c>
      <c r="C2" s="70"/>
      <c r="D2" s="70"/>
      <c r="E2" s="70"/>
      <c r="F2" s="70"/>
      <c r="G2" s="70"/>
      <c r="H2" s="71"/>
      <c r="I2" s="70"/>
    </row>
    <row r="3" spans="1:9" ht="20" customHeight="1" x14ac:dyDescent="0.35">
      <c r="A3" s="2"/>
      <c r="B3" s="70" t="s">
        <v>2</v>
      </c>
      <c r="C3" s="70"/>
      <c r="D3" s="70"/>
      <c r="E3" s="70"/>
      <c r="F3" s="70"/>
      <c r="G3" s="70"/>
      <c r="H3" s="71"/>
      <c r="I3" s="70"/>
    </row>
    <row r="4" spans="1:9" ht="13" customHeight="1" x14ac:dyDescent="0.35">
      <c r="A4" s="2"/>
      <c r="B4" s="72"/>
      <c r="C4" s="72"/>
      <c r="D4" s="72"/>
      <c r="E4" s="72"/>
      <c r="F4" s="72"/>
      <c r="G4" s="72"/>
      <c r="H4" s="72"/>
      <c r="I4" s="72"/>
    </row>
    <row r="5" spans="1:9" ht="28" customHeight="1" x14ac:dyDescent="0.35">
      <c r="A5" s="2"/>
      <c r="B5" s="3" t="s">
        <v>3</v>
      </c>
      <c r="C5" s="4" t="s">
        <v>4</v>
      </c>
      <c r="D5" s="4" t="s">
        <v>5</v>
      </c>
      <c r="E5" s="4" t="s">
        <v>6</v>
      </c>
      <c r="F5" s="4" t="s">
        <v>7</v>
      </c>
      <c r="G5" s="4" t="s">
        <v>8</v>
      </c>
      <c r="H5" s="5" t="s">
        <v>9</v>
      </c>
      <c r="I5" s="5" t="s">
        <v>610</v>
      </c>
    </row>
    <row r="6" spans="1:9" ht="13" customHeight="1" x14ac:dyDescent="0.35">
      <c r="A6" s="2"/>
      <c r="B6" s="6" t="s">
        <v>10</v>
      </c>
      <c r="C6" s="7"/>
      <c r="D6" s="7"/>
      <c r="E6" s="7"/>
      <c r="F6" s="7"/>
      <c r="G6" s="7"/>
      <c r="H6" s="8"/>
      <c r="I6" s="8"/>
    </row>
    <row r="7" spans="1:9" ht="13" customHeight="1" x14ac:dyDescent="0.35">
      <c r="A7" s="2"/>
      <c r="B7" s="6" t="s">
        <v>11</v>
      </c>
      <c r="C7" s="9"/>
      <c r="D7" s="9"/>
      <c r="E7" s="7"/>
      <c r="F7" s="7"/>
      <c r="G7" s="7"/>
      <c r="H7" s="8"/>
      <c r="I7" s="8"/>
    </row>
    <row r="8" spans="1:9" ht="13" customHeight="1" x14ac:dyDescent="0.35">
      <c r="A8" s="1" t="s">
        <v>398</v>
      </c>
      <c r="B8" s="10" t="s">
        <v>399</v>
      </c>
      <c r="C8" s="11" t="s">
        <v>400</v>
      </c>
      <c r="D8" s="7" t="s">
        <v>64</v>
      </c>
      <c r="E8" s="12">
        <v>300000</v>
      </c>
      <c r="F8" s="13">
        <v>8151</v>
      </c>
      <c r="G8" s="13">
        <v>2.5099999999999998</v>
      </c>
      <c r="H8" s="24"/>
      <c r="I8" s="24"/>
    </row>
    <row r="9" spans="1:9" ht="13" customHeight="1" x14ac:dyDescent="0.35">
      <c r="A9" s="1" t="s">
        <v>401</v>
      </c>
      <c r="B9" s="10" t="s">
        <v>402</v>
      </c>
      <c r="C9" s="11" t="s">
        <v>403</v>
      </c>
      <c r="D9" s="7" t="s">
        <v>136</v>
      </c>
      <c r="E9" s="12">
        <v>1370000</v>
      </c>
      <c r="F9" s="13">
        <v>7330.87</v>
      </c>
      <c r="G9" s="13">
        <v>2.2599999999999998</v>
      </c>
      <c r="H9" s="24"/>
      <c r="I9" s="24"/>
    </row>
    <row r="10" spans="1:9" ht="13" customHeight="1" x14ac:dyDescent="0.35">
      <c r="A10" s="1" t="s">
        <v>45</v>
      </c>
      <c r="B10" s="10" t="s">
        <v>46</v>
      </c>
      <c r="C10" s="11" t="s">
        <v>47</v>
      </c>
      <c r="D10" s="7" t="s">
        <v>48</v>
      </c>
      <c r="E10" s="12">
        <v>1262170</v>
      </c>
      <c r="F10" s="13">
        <v>7242.33</v>
      </c>
      <c r="G10" s="13">
        <v>2.23</v>
      </c>
      <c r="H10" s="24"/>
      <c r="I10" s="24"/>
    </row>
    <row r="11" spans="1:9" ht="13" customHeight="1" x14ac:dyDescent="0.35">
      <c r="A11" s="1" t="s">
        <v>38</v>
      </c>
      <c r="B11" s="10" t="s">
        <v>39</v>
      </c>
      <c r="C11" s="11" t="s">
        <v>40</v>
      </c>
      <c r="D11" s="7" t="s">
        <v>41</v>
      </c>
      <c r="E11" s="12">
        <v>304467</v>
      </c>
      <c r="F11" s="13">
        <v>7127.57</v>
      </c>
      <c r="G11" s="13">
        <v>2.19</v>
      </c>
      <c r="H11" s="24"/>
      <c r="I11" s="24"/>
    </row>
    <row r="12" spans="1:9" ht="13" customHeight="1" x14ac:dyDescent="0.35">
      <c r="A12" s="1" t="s">
        <v>404</v>
      </c>
      <c r="B12" s="10" t="s">
        <v>405</v>
      </c>
      <c r="C12" s="11" t="s">
        <v>406</v>
      </c>
      <c r="D12" s="7" t="s">
        <v>41</v>
      </c>
      <c r="E12" s="12">
        <v>150000</v>
      </c>
      <c r="F12" s="13">
        <v>6806.25</v>
      </c>
      <c r="G12" s="13">
        <v>2.1</v>
      </c>
      <c r="H12" s="24"/>
      <c r="I12" s="24"/>
    </row>
    <row r="13" spans="1:9" ht="13" customHeight="1" x14ac:dyDescent="0.35">
      <c r="A13" s="1" t="s">
        <v>53</v>
      </c>
      <c r="B13" s="10" t="s">
        <v>54</v>
      </c>
      <c r="C13" s="11" t="s">
        <v>55</v>
      </c>
      <c r="D13" s="7" t="s">
        <v>56</v>
      </c>
      <c r="E13" s="12">
        <v>390000</v>
      </c>
      <c r="F13" s="13">
        <v>6627.27</v>
      </c>
      <c r="G13" s="13">
        <v>2.04</v>
      </c>
      <c r="H13" s="24"/>
      <c r="I13" s="24"/>
    </row>
    <row r="14" spans="1:9" ht="13" customHeight="1" x14ac:dyDescent="0.35">
      <c r="A14" s="1" t="s">
        <v>315</v>
      </c>
      <c r="B14" s="10" t="s">
        <v>316</v>
      </c>
      <c r="C14" s="11" t="s">
        <v>317</v>
      </c>
      <c r="D14" s="7" t="s">
        <v>15</v>
      </c>
      <c r="E14" s="12">
        <v>2000000</v>
      </c>
      <c r="F14" s="13">
        <v>6496</v>
      </c>
      <c r="G14" s="13">
        <v>2</v>
      </c>
      <c r="H14" s="24"/>
      <c r="I14" s="24"/>
    </row>
    <row r="15" spans="1:9" ht="13" customHeight="1" x14ac:dyDescent="0.35">
      <c r="A15" s="1" t="s">
        <v>407</v>
      </c>
      <c r="B15" s="10" t="s">
        <v>408</v>
      </c>
      <c r="C15" s="11" t="s">
        <v>409</v>
      </c>
      <c r="D15" s="7" t="s">
        <v>126</v>
      </c>
      <c r="E15" s="12">
        <v>750000</v>
      </c>
      <c r="F15" s="13">
        <v>6386.63</v>
      </c>
      <c r="G15" s="13">
        <v>1.97</v>
      </c>
      <c r="H15" s="24"/>
      <c r="I15" s="24"/>
    </row>
    <row r="16" spans="1:9" ht="13" customHeight="1" x14ac:dyDescent="0.35">
      <c r="A16" s="1" t="s">
        <v>410</v>
      </c>
      <c r="B16" s="10" t="s">
        <v>411</v>
      </c>
      <c r="C16" s="11" t="s">
        <v>412</v>
      </c>
      <c r="D16" s="7" t="s">
        <v>52</v>
      </c>
      <c r="E16" s="12">
        <v>500000</v>
      </c>
      <c r="F16" s="13">
        <v>6320</v>
      </c>
      <c r="G16" s="13">
        <v>1.95</v>
      </c>
      <c r="H16" s="24"/>
      <c r="I16" s="24"/>
    </row>
    <row r="17" spans="1:9" ht="13" customHeight="1" x14ac:dyDescent="0.35">
      <c r="A17" s="1" t="s">
        <v>413</v>
      </c>
      <c r="B17" s="10" t="s">
        <v>414</v>
      </c>
      <c r="C17" s="11" t="s">
        <v>415</v>
      </c>
      <c r="D17" s="7" t="s">
        <v>333</v>
      </c>
      <c r="E17" s="12">
        <v>317684</v>
      </c>
      <c r="F17" s="13">
        <v>6312.38</v>
      </c>
      <c r="G17" s="13">
        <v>1.94</v>
      </c>
      <c r="H17" s="24"/>
      <c r="I17" s="24"/>
    </row>
    <row r="18" spans="1:9" ht="13" customHeight="1" x14ac:dyDescent="0.35">
      <c r="A18" s="1" t="s">
        <v>416</v>
      </c>
      <c r="B18" s="10" t="s">
        <v>417</v>
      </c>
      <c r="C18" s="11" t="s">
        <v>418</v>
      </c>
      <c r="D18" s="7" t="s">
        <v>64</v>
      </c>
      <c r="E18" s="12">
        <v>270000</v>
      </c>
      <c r="F18" s="13">
        <v>6221.34</v>
      </c>
      <c r="G18" s="13">
        <v>1.92</v>
      </c>
      <c r="H18" s="24"/>
      <c r="I18" s="24"/>
    </row>
    <row r="19" spans="1:9" ht="13" customHeight="1" x14ac:dyDescent="0.35">
      <c r="A19" s="1" t="s">
        <v>112</v>
      </c>
      <c r="B19" s="10" t="s">
        <v>113</v>
      </c>
      <c r="C19" s="11" t="s">
        <v>114</v>
      </c>
      <c r="D19" s="7" t="s">
        <v>115</v>
      </c>
      <c r="E19" s="12">
        <v>950000</v>
      </c>
      <c r="F19" s="13">
        <v>5707.13</v>
      </c>
      <c r="G19" s="13">
        <v>1.76</v>
      </c>
      <c r="H19" s="24"/>
      <c r="I19" s="24"/>
    </row>
    <row r="20" spans="1:9" ht="13" customHeight="1" x14ac:dyDescent="0.35">
      <c r="A20" s="1" t="s">
        <v>419</v>
      </c>
      <c r="B20" s="10" t="s">
        <v>420</v>
      </c>
      <c r="C20" s="11" t="s">
        <v>421</v>
      </c>
      <c r="D20" s="7" t="s">
        <v>119</v>
      </c>
      <c r="E20" s="12">
        <v>1050000</v>
      </c>
      <c r="F20" s="13">
        <v>5613.83</v>
      </c>
      <c r="G20" s="13">
        <v>1.73</v>
      </c>
      <c r="H20" s="24"/>
      <c r="I20" s="24"/>
    </row>
    <row r="21" spans="1:9" ht="13" customHeight="1" x14ac:dyDescent="0.35">
      <c r="A21" s="1" t="s">
        <v>422</v>
      </c>
      <c r="B21" s="10" t="s">
        <v>423</v>
      </c>
      <c r="C21" s="11" t="s">
        <v>424</v>
      </c>
      <c r="D21" s="7" t="s">
        <v>41</v>
      </c>
      <c r="E21" s="12">
        <v>120000</v>
      </c>
      <c r="F21" s="13">
        <v>5584.44</v>
      </c>
      <c r="G21" s="13">
        <v>1.72</v>
      </c>
      <c r="H21" s="24"/>
      <c r="I21" s="24"/>
    </row>
    <row r="22" spans="1:9" ht="13" customHeight="1" x14ac:dyDescent="0.35">
      <c r="A22" s="1" t="s">
        <v>425</v>
      </c>
      <c r="B22" s="10" t="s">
        <v>426</v>
      </c>
      <c r="C22" s="11" t="s">
        <v>427</v>
      </c>
      <c r="D22" s="7" t="s">
        <v>52</v>
      </c>
      <c r="E22" s="12">
        <v>820000</v>
      </c>
      <c r="F22" s="13">
        <v>5502.2</v>
      </c>
      <c r="G22" s="13">
        <v>1.69</v>
      </c>
      <c r="H22" s="24"/>
      <c r="I22" s="24"/>
    </row>
    <row r="23" spans="1:9" ht="13" customHeight="1" x14ac:dyDescent="0.35">
      <c r="A23" s="1" t="s">
        <v>330</v>
      </c>
      <c r="B23" s="10" t="s">
        <v>331</v>
      </c>
      <c r="C23" s="11" t="s">
        <v>332</v>
      </c>
      <c r="D23" s="7" t="s">
        <v>333</v>
      </c>
      <c r="E23" s="12">
        <v>409321</v>
      </c>
      <c r="F23" s="13">
        <v>5379.71</v>
      </c>
      <c r="G23" s="13">
        <v>1.66</v>
      </c>
      <c r="H23" s="24"/>
      <c r="I23" s="24"/>
    </row>
    <row r="24" spans="1:9" ht="13" customHeight="1" x14ac:dyDescent="0.35">
      <c r="A24" s="1" t="s">
        <v>428</v>
      </c>
      <c r="B24" s="10" t="s">
        <v>429</v>
      </c>
      <c r="C24" s="11" t="s">
        <v>430</v>
      </c>
      <c r="D24" s="7" t="s">
        <v>386</v>
      </c>
      <c r="E24" s="12">
        <v>1200000</v>
      </c>
      <c r="F24" s="13">
        <v>5370</v>
      </c>
      <c r="G24" s="13">
        <v>1.65</v>
      </c>
      <c r="H24" s="24"/>
      <c r="I24" s="24"/>
    </row>
    <row r="25" spans="1:9" ht="13" customHeight="1" x14ac:dyDescent="0.35">
      <c r="A25" s="1" t="s">
        <v>61</v>
      </c>
      <c r="B25" s="10" t="s">
        <v>62</v>
      </c>
      <c r="C25" s="11" t="s">
        <v>63</v>
      </c>
      <c r="D25" s="7" t="s">
        <v>64</v>
      </c>
      <c r="E25" s="12">
        <v>260000</v>
      </c>
      <c r="F25" s="13">
        <v>5336.5</v>
      </c>
      <c r="G25" s="13">
        <v>1.64</v>
      </c>
      <c r="H25" s="24"/>
      <c r="I25" s="24"/>
    </row>
    <row r="26" spans="1:9" ht="13" customHeight="1" x14ac:dyDescent="0.35">
      <c r="A26" s="1" t="s">
        <v>22</v>
      </c>
      <c r="B26" s="10" t="s">
        <v>23</v>
      </c>
      <c r="C26" s="11" t="s">
        <v>24</v>
      </c>
      <c r="D26" s="7" t="s">
        <v>25</v>
      </c>
      <c r="E26" s="12">
        <v>1650000</v>
      </c>
      <c r="F26" s="13">
        <v>5325.38</v>
      </c>
      <c r="G26" s="13">
        <v>1.64</v>
      </c>
      <c r="H26" s="24"/>
      <c r="I26" s="24"/>
    </row>
    <row r="27" spans="1:9" ht="13" customHeight="1" x14ac:dyDescent="0.35">
      <c r="A27" s="1" t="s">
        <v>431</v>
      </c>
      <c r="B27" s="10" t="s">
        <v>432</v>
      </c>
      <c r="C27" s="11" t="s">
        <v>433</v>
      </c>
      <c r="D27" s="7" t="s">
        <v>155</v>
      </c>
      <c r="E27" s="12">
        <v>1300000</v>
      </c>
      <c r="F27" s="13">
        <v>5291</v>
      </c>
      <c r="G27" s="13">
        <v>1.63</v>
      </c>
      <c r="H27" s="24"/>
      <c r="I27" s="24"/>
    </row>
    <row r="28" spans="1:9" ht="13" customHeight="1" x14ac:dyDescent="0.35">
      <c r="A28" s="1" t="s">
        <v>109</v>
      </c>
      <c r="B28" s="10" t="s">
        <v>110</v>
      </c>
      <c r="C28" s="11" t="s">
        <v>111</v>
      </c>
      <c r="D28" s="7" t="s">
        <v>108</v>
      </c>
      <c r="E28" s="12">
        <v>1616000</v>
      </c>
      <c r="F28" s="13">
        <v>5104.9399999999996</v>
      </c>
      <c r="G28" s="13">
        <v>1.57</v>
      </c>
      <c r="H28" s="24"/>
      <c r="I28" s="24"/>
    </row>
    <row r="29" spans="1:9" ht="13" customHeight="1" x14ac:dyDescent="0.35">
      <c r="A29" s="1" t="s">
        <v>16</v>
      </c>
      <c r="B29" s="10" t="s">
        <v>17</v>
      </c>
      <c r="C29" s="11" t="s">
        <v>18</v>
      </c>
      <c r="D29" s="7" t="s">
        <v>15</v>
      </c>
      <c r="E29" s="12">
        <v>715000</v>
      </c>
      <c r="F29" s="13">
        <v>5067.21</v>
      </c>
      <c r="G29" s="13">
        <v>1.56</v>
      </c>
      <c r="H29" s="24"/>
      <c r="I29" s="24"/>
    </row>
    <row r="30" spans="1:9" ht="13" customHeight="1" x14ac:dyDescent="0.35">
      <c r="A30" s="1" t="s">
        <v>127</v>
      </c>
      <c r="B30" s="10" t="s">
        <v>128</v>
      </c>
      <c r="C30" s="11" t="s">
        <v>129</v>
      </c>
      <c r="D30" s="7" t="s">
        <v>115</v>
      </c>
      <c r="E30" s="12">
        <v>450000</v>
      </c>
      <c r="F30" s="13">
        <v>5040</v>
      </c>
      <c r="G30" s="13">
        <v>1.55</v>
      </c>
      <c r="H30" s="24"/>
      <c r="I30" s="24"/>
    </row>
    <row r="31" spans="1:9" ht="13" customHeight="1" x14ac:dyDescent="0.35">
      <c r="A31" s="1" t="s">
        <v>120</v>
      </c>
      <c r="B31" s="10" t="s">
        <v>121</v>
      </c>
      <c r="C31" s="11" t="s">
        <v>122</v>
      </c>
      <c r="D31" s="7" t="s">
        <v>115</v>
      </c>
      <c r="E31" s="12">
        <v>3523807</v>
      </c>
      <c r="F31" s="13">
        <v>5029.53</v>
      </c>
      <c r="G31" s="13">
        <v>1.55</v>
      </c>
      <c r="H31" s="24"/>
      <c r="I31" s="24"/>
    </row>
    <row r="32" spans="1:9" ht="13" customHeight="1" x14ac:dyDescent="0.35">
      <c r="A32" s="1" t="s">
        <v>434</v>
      </c>
      <c r="B32" s="10" t="s">
        <v>435</v>
      </c>
      <c r="C32" s="11" t="s">
        <v>436</v>
      </c>
      <c r="D32" s="7" t="s">
        <v>155</v>
      </c>
      <c r="E32" s="12">
        <v>759297</v>
      </c>
      <c r="F32" s="13">
        <v>5014.78</v>
      </c>
      <c r="G32" s="13">
        <v>1.54</v>
      </c>
      <c r="H32" s="24"/>
      <c r="I32" s="24"/>
    </row>
    <row r="33" spans="1:9" ht="13" customHeight="1" x14ac:dyDescent="0.35">
      <c r="A33" s="1" t="s">
        <v>337</v>
      </c>
      <c r="B33" s="10" t="s">
        <v>338</v>
      </c>
      <c r="C33" s="11" t="s">
        <v>339</v>
      </c>
      <c r="D33" s="7" t="s">
        <v>15</v>
      </c>
      <c r="E33" s="12">
        <v>7217310</v>
      </c>
      <c r="F33" s="13">
        <v>4974.8900000000003</v>
      </c>
      <c r="G33" s="13">
        <v>1.53</v>
      </c>
      <c r="H33" s="24"/>
      <c r="I33" s="24"/>
    </row>
    <row r="34" spans="1:9" ht="13" customHeight="1" x14ac:dyDescent="0.35">
      <c r="A34" s="1" t="s">
        <v>68</v>
      </c>
      <c r="B34" s="10" t="s">
        <v>69</v>
      </c>
      <c r="C34" s="11" t="s">
        <v>70</v>
      </c>
      <c r="D34" s="7" t="s">
        <v>71</v>
      </c>
      <c r="E34" s="12">
        <v>1200000</v>
      </c>
      <c r="F34" s="13">
        <v>4954.8</v>
      </c>
      <c r="G34" s="13">
        <v>1.53</v>
      </c>
      <c r="H34" s="24"/>
      <c r="I34" s="24"/>
    </row>
    <row r="35" spans="1:9" ht="13" customHeight="1" x14ac:dyDescent="0.35">
      <c r="A35" s="1" t="s">
        <v>437</v>
      </c>
      <c r="B35" s="10" t="s">
        <v>438</v>
      </c>
      <c r="C35" s="11" t="s">
        <v>439</v>
      </c>
      <c r="D35" s="7" t="s">
        <v>41</v>
      </c>
      <c r="E35" s="12">
        <v>367556</v>
      </c>
      <c r="F35" s="13">
        <v>4931.87</v>
      </c>
      <c r="G35" s="13">
        <v>1.52</v>
      </c>
      <c r="H35" s="24"/>
      <c r="I35" s="24"/>
    </row>
    <row r="36" spans="1:9" ht="13" customHeight="1" x14ac:dyDescent="0.35">
      <c r="A36" s="1" t="s">
        <v>440</v>
      </c>
      <c r="B36" s="10" t="s">
        <v>441</v>
      </c>
      <c r="C36" s="11" t="s">
        <v>442</v>
      </c>
      <c r="D36" s="7" t="s">
        <v>443</v>
      </c>
      <c r="E36" s="12">
        <v>1191473</v>
      </c>
      <c r="F36" s="13">
        <v>4898.74</v>
      </c>
      <c r="G36" s="13">
        <v>1.51</v>
      </c>
      <c r="H36" s="24"/>
      <c r="I36" s="24"/>
    </row>
    <row r="37" spans="1:9" ht="13" customHeight="1" x14ac:dyDescent="0.35">
      <c r="A37" s="1" t="s">
        <v>170</v>
      </c>
      <c r="B37" s="10" t="s">
        <v>171</v>
      </c>
      <c r="C37" s="11" t="s">
        <v>172</v>
      </c>
      <c r="D37" s="7" t="s">
        <v>75</v>
      </c>
      <c r="E37" s="12">
        <v>469188</v>
      </c>
      <c r="F37" s="13">
        <v>4827.01</v>
      </c>
      <c r="G37" s="13">
        <v>1.49</v>
      </c>
      <c r="H37" s="24"/>
      <c r="I37" s="24"/>
    </row>
    <row r="38" spans="1:9" ht="13" customHeight="1" x14ac:dyDescent="0.35">
      <c r="A38" s="1" t="s">
        <v>19</v>
      </c>
      <c r="B38" s="10" t="s">
        <v>20</v>
      </c>
      <c r="C38" s="11" t="s">
        <v>21</v>
      </c>
      <c r="D38" s="7" t="s">
        <v>15</v>
      </c>
      <c r="E38" s="12">
        <v>500000</v>
      </c>
      <c r="F38" s="13">
        <v>4797.5</v>
      </c>
      <c r="G38" s="13">
        <v>1.48</v>
      </c>
      <c r="H38" s="24"/>
      <c r="I38" s="24"/>
    </row>
    <row r="39" spans="1:9" ht="13" customHeight="1" x14ac:dyDescent="0.35">
      <c r="A39" s="1" t="s">
        <v>444</v>
      </c>
      <c r="B39" s="10" t="s">
        <v>445</v>
      </c>
      <c r="C39" s="11" t="s">
        <v>446</v>
      </c>
      <c r="D39" s="7" t="s">
        <v>447</v>
      </c>
      <c r="E39" s="12">
        <v>925000</v>
      </c>
      <c r="F39" s="13">
        <v>4685.59</v>
      </c>
      <c r="G39" s="13">
        <v>1.44</v>
      </c>
      <c r="H39" s="24"/>
      <c r="I39" s="24"/>
    </row>
    <row r="40" spans="1:9" ht="13" customHeight="1" x14ac:dyDescent="0.35">
      <c r="A40" s="1" t="s">
        <v>448</v>
      </c>
      <c r="B40" s="10" t="s">
        <v>449</v>
      </c>
      <c r="C40" s="11" t="s">
        <v>450</v>
      </c>
      <c r="D40" s="7" t="s">
        <v>75</v>
      </c>
      <c r="E40" s="12">
        <v>553810</v>
      </c>
      <c r="F40" s="13">
        <v>4571.42</v>
      </c>
      <c r="G40" s="13">
        <v>1.41</v>
      </c>
      <c r="H40" s="24"/>
      <c r="I40" s="24"/>
    </row>
    <row r="41" spans="1:9" ht="13" customHeight="1" x14ac:dyDescent="0.35">
      <c r="A41" s="1" t="s">
        <v>130</v>
      </c>
      <c r="B41" s="10" t="s">
        <v>131</v>
      </c>
      <c r="C41" s="11" t="s">
        <v>132</v>
      </c>
      <c r="D41" s="7" t="s">
        <v>96</v>
      </c>
      <c r="E41" s="12">
        <v>227372</v>
      </c>
      <c r="F41" s="13">
        <v>4530.16</v>
      </c>
      <c r="G41" s="13">
        <v>1.39</v>
      </c>
      <c r="H41" s="24"/>
      <c r="I41" s="24"/>
    </row>
    <row r="42" spans="1:9" ht="13" customHeight="1" x14ac:dyDescent="0.35">
      <c r="A42" s="1" t="s">
        <v>451</v>
      </c>
      <c r="B42" s="10" t="s">
        <v>452</v>
      </c>
      <c r="C42" s="11" t="s">
        <v>453</v>
      </c>
      <c r="D42" s="7" t="s">
        <v>33</v>
      </c>
      <c r="E42" s="12">
        <v>3500000</v>
      </c>
      <c r="F42" s="13">
        <v>4510.8</v>
      </c>
      <c r="G42" s="13">
        <v>1.39</v>
      </c>
      <c r="H42" s="24"/>
      <c r="I42" s="24"/>
    </row>
    <row r="43" spans="1:9" ht="13" customHeight="1" x14ac:dyDescent="0.35">
      <c r="A43" s="1" t="s">
        <v>454</v>
      </c>
      <c r="B43" s="10" t="s">
        <v>455</v>
      </c>
      <c r="C43" s="11" t="s">
        <v>456</v>
      </c>
      <c r="D43" s="7" t="s">
        <v>457</v>
      </c>
      <c r="E43" s="12">
        <v>400000</v>
      </c>
      <c r="F43" s="13">
        <v>4413.2</v>
      </c>
      <c r="G43" s="13">
        <v>1.36</v>
      </c>
      <c r="H43" s="24"/>
      <c r="I43" s="24"/>
    </row>
    <row r="44" spans="1:9" ht="13" customHeight="1" x14ac:dyDescent="0.35">
      <c r="A44" s="1" t="s">
        <v>458</v>
      </c>
      <c r="B44" s="10" t="s">
        <v>459</v>
      </c>
      <c r="C44" s="11" t="s">
        <v>460</v>
      </c>
      <c r="D44" s="7" t="s">
        <v>126</v>
      </c>
      <c r="E44" s="12">
        <v>708336</v>
      </c>
      <c r="F44" s="13">
        <v>4346.7</v>
      </c>
      <c r="G44" s="13">
        <v>1.34</v>
      </c>
      <c r="H44" s="24"/>
      <c r="I44" s="24"/>
    </row>
    <row r="45" spans="1:9" ht="13" customHeight="1" x14ac:dyDescent="0.35">
      <c r="A45" s="1" t="s">
        <v>461</v>
      </c>
      <c r="B45" s="10" t="s">
        <v>462</v>
      </c>
      <c r="C45" s="11" t="s">
        <v>463</v>
      </c>
      <c r="D45" s="7" t="s">
        <v>60</v>
      </c>
      <c r="E45" s="12">
        <v>875000</v>
      </c>
      <c r="F45" s="13">
        <v>4317.6899999999996</v>
      </c>
      <c r="G45" s="13">
        <v>1.33</v>
      </c>
      <c r="H45" s="24"/>
      <c r="I45" s="24"/>
    </row>
    <row r="46" spans="1:9" ht="13" customHeight="1" x14ac:dyDescent="0.35">
      <c r="A46" s="1" t="s">
        <v>464</v>
      </c>
      <c r="B46" s="10" t="s">
        <v>465</v>
      </c>
      <c r="C46" s="11" t="s">
        <v>466</v>
      </c>
      <c r="D46" s="7" t="s">
        <v>96</v>
      </c>
      <c r="E46" s="12">
        <v>346018</v>
      </c>
      <c r="F46" s="13">
        <v>4262.9399999999996</v>
      </c>
      <c r="G46" s="13">
        <v>1.31</v>
      </c>
      <c r="H46" s="24"/>
      <c r="I46" s="24"/>
    </row>
    <row r="47" spans="1:9" ht="13" customHeight="1" x14ac:dyDescent="0.35">
      <c r="A47" s="1" t="s">
        <v>467</v>
      </c>
      <c r="B47" s="10" t="s">
        <v>468</v>
      </c>
      <c r="C47" s="11" t="s">
        <v>469</v>
      </c>
      <c r="D47" s="7" t="s">
        <v>302</v>
      </c>
      <c r="E47" s="12">
        <v>187807</v>
      </c>
      <c r="F47" s="13">
        <v>4190.3500000000004</v>
      </c>
      <c r="G47" s="13">
        <v>1.29</v>
      </c>
      <c r="H47" s="24"/>
      <c r="I47" s="24"/>
    </row>
    <row r="48" spans="1:9" ht="13" customHeight="1" x14ac:dyDescent="0.35">
      <c r="A48" s="1" t="s">
        <v>133</v>
      </c>
      <c r="B48" s="10" t="s">
        <v>134</v>
      </c>
      <c r="C48" s="11" t="s">
        <v>135</v>
      </c>
      <c r="D48" s="7" t="s">
        <v>136</v>
      </c>
      <c r="E48" s="12">
        <v>1050000</v>
      </c>
      <c r="F48" s="13">
        <v>4068.23</v>
      </c>
      <c r="G48" s="13">
        <v>1.25</v>
      </c>
      <c r="H48" s="24"/>
      <c r="I48" s="24"/>
    </row>
    <row r="49" spans="1:9" ht="13" customHeight="1" x14ac:dyDescent="0.35">
      <c r="A49" s="1" t="s">
        <v>470</v>
      </c>
      <c r="B49" s="10" t="s">
        <v>471</v>
      </c>
      <c r="C49" s="11" t="s">
        <v>472</v>
      </c>
      <c r="D49" s="7" t="s">
        <v>75</v>
      </c>
      <c r="E49" s="12">
        <v>19000</v>
      </c>
      <c r="F49" s="13">
        <v>4056.5</v>
      </c>
      <c r="G49" s="13">
        <v>1.25</v>
      </c>
      <c r="H49" s="24"/>
      <c r="I49" s="24"/>
    </row>
    <row r="50" spans="1:9" ht="13" customHeight="1" x14ac:dyDescent="0.35">
      <c r="A50" s="1" t="s">
        <v>143</v>
      </c>
      <c r="B50" s="10" t="s">
        <v>144</v>
      </c>
      <c r="C50" s="11" t="s">
        <v>145</v>
      </c>
      <c r="D50" s="7" t="s">
        <v>60</v>
      </c>
      <c r="E50" s="12">
        <v>323093</v>
      </c>
      <c r="F50" s="13">
        <v>3990.52</v>
      </c>
      <c r="G50" s="13">
        <v>1.23</v>
      </c>
      <c r="H50" s="24"/>
      <c r="I50" s="24"/>
    </row>
    <row r="51" spans="1:9" ht="13" customHeight="1" x14ac:dyDescent="0.35">
      <c r="A51" s="1" t="s">
        <v>473</v>
      </c>
      <c r="B51" s="10" t="s">
        <v>474</v>
      </c>
      <c r="C51" s="11" t="s">
        <v>475</v>
      </c>
      <c r="D51" s="7" t="s">
        <v>60</v>
      </c>
      <c r="E51" s="12">
        <v>568870</v>
      </c>
      <c r="F51" s="13">
        <v>3878.84</v>
      </c>
      <c r="G51" s="13">
        <v>1.19</v>
      </c>
      <c r="H51" s="24"/>
      <c r="I51" s="24"/>
    </row>
    <row r="52" spans="1:9" ht="13" customHeight="1" x14ac:dyDescent="0.35">
      <c r="A52" s="1" t="s">
        <v>140</v>
      </c>
      <c r="B52" s="10" t="s">
        <v>141</v>
      </c>
      <c r="C52" s="11" t="s">
        <v>142</v>
      </c>
      <c r="D52" s="7" t="s">
        <v>64</v>
      </c>
      <c r="E52" s="12">
        <v>566739</v>
      </c>
      <c r="F52" s="13">
        <v>3835.12</v>
      </c>
      <c r="G52" s="13">
        <v>1.18</v>
      </c>
      <c r="H52" s="24"/>
      <c r="I52" s="24"/>
    </row>
    <row r="53" spans="1:9" ht="13" customHeight="1" x14ac:dyDescent="0.35">
      <c r="A53" s="1" t="s">
        <v>476</v>
      </c>
      <c r="B53" s="10" t="s">
        <v>477</v>
      </c>
      <c r="C53" s="11" t="s">
        <v>478</v>
      </c>
      <c r="D53" s="7" t="s">
        <v>15</v>
      </c>
      <c r="E53" s="12">
        <v>950000</v>
      </c>
      <c r="F53" s="13">
        <v>3831.83</v>
      </c>
      <c r="G53" s="13">
        <v>1.18</v>
      </c>
      <c r="H53" s="24"/>
      <c r="I53" s="24"/>
    </row>
    <row r="54" spans="1:9" ht="13" customHeight="1" x14ac:dyDescent="0.35">
      <c r="A54" s="1" t="s">
        <v>479</v>
      </c>
      <c r="B54" s="10" t="s">
        <v>480</v>
      </c>
      <c r="C54" s="11" t="s">
        <v>481</v>
      </c>
      <c r="D54" s="7" t="s">
        <v>166</v>
      </c>
      <c r="E54" s="12">
        <v>1833423</v>
      </c>
      <c r="F54" s="13">
        <v>3790.42</v>
      </c>
      <c r="G54" s="13">
        <v>1.17</v>
      </c>
      <c r="H54" s="24"/>
      <c r="I54" s="24"/>
    </row>
    <row r="55" spans="1:9" ht="13" customHeight="1" x14ac:dyDescent="0.35">
      <c r="A55" s="1" t="s">
        <v>482</v>
      </c>
      <c r="B55" s="10" t="s">
        <v>483</v>
      </c>
      <c r="C55" s="11" t="s">
        <v>484</v>
      </c>
      <c r="D55" s="7" t="s">
        <v>64</v>
      </c>
      <c r="E55" s="12">
        <v>1700000</v>
      </c>
      <c r="F55" s="13">
        <v>3779.78</v>
      </c>
      <c r="G55" s="13">
        <v>1.1599999999999999</v>
      </c>
      <c r="H55" s="24"/>
      <c r="I55" s="24"/>
    </row>
    <row r="56" spans="1:9" ht="13" customHeight="1" x14ac:dyDescent="0.35">
      <c r="A56" s="1" t="s">
        <v>137</v>
      </c>
      <c r="B56" s="10" t="s">
        <v>138</v>
      </c>
      <c r="C56" s="11" t="s">
        <v>139</v>
      </c>
      <c r="D56" s="7" t="s">
        <v>136</v>
      </c>
      <c r="E56" s="12">
        <v>2380024</v>
      </c>
      <c r="F56" s="13">
        <v>3748.06</v>
      </c>
      <c r="G56" s="13">
        <v>1.1499999999999999</v>
      </c>
      <c r="H56" s="24"/>
      <c r="I56" s="24"/>
    </row>
    <row r="57" spans="1:9" ht="13" customHeight="1" x14ac:dyDescent="0.35">
      <c r="A57" s="1" t="s">
        <v>485</v>
      </c>
      <c r="B57" s="10" t="s">
        <v>486</v>
      </c>
      <c r="C57" s="11" t="s">
        <v>487</v>
      </c>
      <c r="D57" s="7" t="s">
        <v>126</v>
      </c>
      <c r="E57" s="12">
        <v>750000</v>
      </c>
      <c r="F57" s="13">
        <v>3691.13</v>
      </c>
      <c r="G57" s="13">
        <v>1.1399999999999999</v>
      </c>
      <c r="H57" s="24"/>
      <c r="I57" s="24"/>
    </row>
    <row r="58" spans="1:9" ht="13" customHeight="1" x14ac:dyDescent="0.35">
      <c r="A58" s="1" t="s">
        <v>488</v>
      </c>
      <c r="B58" s="10" t="s">
        <v>489</v>
      </c>
      <c r="C58" s="11" t="s">
        <v>490</v>
      </c>
      <c r="D58" s="7" t="s">
        <v>52</v>
      </c>
      <c r="E58" s="12">
        <v>1623436</v>
      </c>
      <c r="F58" s="13">
        <v>3647.86</v>
      </c>
      <c r="G58" s="13">
        <v>1.1200000000000001</v>
      </c>
      <c r="H58" s="24"/>
      <c r="I58" s="24"/>
    </row>
    <row r="59" spans="1:9" ht="13" customHeight="1" x14ac:dyDescent="0.35">
      <c r="A59" s="1" t="s">
        <v>491</v>
      </c>
      <c r="B59" s="10" t="s">
        <v>492</v>
      </c>
      <c r="C59" s="11" t="s">
        <v>493</v>
      </c>
      <c r="D59" s="7" t="s">
        <v>75</v>
      </c>
      <c r="E59" s="12">
        <v>93008</v>
      </c>
      <c r="F59" s="13">
        <v>3536.91</v>
      </c>
      <c r="G59" s="13">
        <v>1.0900000000000001</v>
      </c>
      <c r="H59" s="24"/>
      <c r="I59" s="24"/>
    </row>
    <row r="60" spans="1:9" ht="13" customHeight="1" x14ac:dyDescent="0.35">
      <c r="A60" s="1" t="s">
        <v>494</v>
      </c>
      <c r="B60" s="10" t="s">
        <v>495</v>
      </c>
      <c r="C60" s="11" t="s">
        <v>496</v>
      </c>
      <c r="D60" s="7" t="s">
        <v>497</v>
      </c>
      <c r="E60" s="12">
        <v>513600</v>
      </c>
      <c r="F60" s="13">
        <v>3497.62</v>
      </c>
      <c r="G60" s="13">
        <v>1.08</v>
      </c>
      <c r="H60" s="24"/>
      <c r="I60" s="24"/>
    </row>
    <row r="61" spans="1:9" ht="13" customHeight="1" x14ac:dyDescent="0.35">
      <c r="A61" s="1" t="s">
        <v>152</v>
      </c>
      <c r="B61" s="10" t="s">
        <v>153</v>
      </c>
      <c r="C61" s="11" t="s">
        <v>154</v>
      </c>
      <c r="D61" s="7" t="s">
        <v>155</v>
      </c>
      <c r="E61" s="12">
        <v>1092782</v>
      </c>
      <c r="F61" s="13">
        <v>3452.1</v>
      </c>
      <c r="G61" s="13">
        <v>1.06</v>
      </c>
      <c r="H61" s="24"/>
      <c r="I61" s="24"/>
    </row>
    <row r="62" spans="1:9" ht="13" customHeight="1" x14ac:dyDescent="0.35">
      <c r="A62" s="1" t="s">
        <v>498</v>
      </c>
      <c r="B62" s="10" t="s">
        <v>499</v>
      </c>
      <c r="C62" s="11" t="s">
        <v>500</v>
      </c>
      <c r="D62" s="7" t="s">
        <v>64</v>
      </c>
      <c r="E62" s="12">
        <v>1233174</v>
      </c>
      <c r="F62" s="13">
        <v>3424.52</v>
      </c>
      <c r="G62" s="13">
        <v>1.05</v>
      </c>
      <c r="H62" s="24"/>
      <c r="I62" s="24"/>
    </row>
    <row r="63" spans="1:9" ht="13" customHeight="1" x14ac:dyDescent="0.35">
      <c r="A63" s="1" t="s">
        <v>501</v>
      </c>
      <c r="B63" s="10" t="s">
        <v>502</v>
      </c>
      <c r="C63" s="11" t="s">
        <v>503</v>
      </c>
      <c r="D63" s="7" t="s">
        <v>75</v>
      </c>
      <c r="E63" s="12">
        <v>110573</v>
      </c>
      <c r="F63" s="13">
        <v>3380.22</v>
      </c>
      <c r="G63" s="13">
        <v>1.04</v>
      </c>
      <c r="H63" s="24"/>
      <c r="I63" s="24"/>
    </row>
    <row r="64" spans="1:9" ht="13" customHeight="1" x14ac:dyDescent="0.35">
      <c r="A64" s="1" t="s">
        <v>504</v>
      </c>
      <c r="B64" s="10" t="s">
        <v>505</v>
      </c>
      <c r="C64" s="11" t="s">
        <v>506</v>
      </c>
      <c r="D64" s="7" t="s">
        <v>507</v>
      </c>
      <c r="E64" s="12">
        <v>1685001</v>
      </c>
      <c r="F64" s="13">
        <v>3365.45</v>
      </c>
      <c r="G64" s="13">
        <v>1.04</v>
      </c>
      <c r="H64" s="24"/>
      <c r="I64" s="24"/>
    </row>
    <row r="65" spans="1:9" ht="13" customHeight="1" x14ac:dyDescent="0.35">
      <c r="A65" s="1" t="s">
        <v>350</v>
      </c>
      <c r="B65" s="10" t="s">
        <v>351</v>
      </c>
      <c r="C65" s="11" t="s">
        <v>352</v>
      </c>
      <c r="D65" s="7" t="s">
        <v>56</v>
      </c>
      <c r="E65" s="12">
        <v>412332</v>
      </c>
      <c r="F65" s="13">
        <v>3275.36</v>
      </c>
      <c r="G65" s="13">
        <v>1.01</v>
      </c>
      <c r="H65" s="24"/>
      <c r="I65" s="24"/>
    </row>
    <row r="66" spans="1:9" ht="13" customHeight="1" x14ac:dyDescent="0.35">
      <c r="A66" s="1" t="s">
        <v>508</v>
      </c>
      <c r="B66" s="10" t="s">
        <v>509</v>
      </c>
      <c r="C66" s="11" t="s">
        <v>510</v>
      </c>
      <c r="D66" s="7" t="s">
        <v>393</v>
      </c>
      <c r="E66" s="12">
        <v>172439</v>
      </c>
      <c r="F66" s="13">
        <v>2752.64</v>
      </c>
      <c r="G66" s="13">
        <v>0.85</v>
      </c>
      <c r="H66" s="24"/>
      <c r="I66" s="24"/>
    </row>
    <row r="67" spans="1:9" ht="13" customHeight="1" x14ac:dyDescent="0.35">
      <c r="A67" s="1" t="s">
        <v>160</v>
      </c>
      <c r="B67" s="10" t="s">
        <v>161</v>
      </c>
      <c r="C67" s="11" t="s">
        <v>162</v>
      </c>
      <c r="D67" s="7" t="s">
        <v>25</v>
      </c>
      <c r="E67" s="12">
        <v>7928321</v>
      </c>
      <c r="F67" s="13">
        <v>2603.66</v>
      </c>
      <c r="G67" s="13">
        <v>0.8</v>
      </c>
      <c r="H67" s="24"/>
      <c r="I67" s="24"/>
    </row>
    <row r="68" spans="1:9" ht="13" customHeight="1" x14ac:dyDescent="0.35">
      <c r="A68" s="1" t="s">
        <v>511</v>
      </c>
      <c r="B68" s="10" t="s">
        <v>512</v>
      </c>
      <c r="C68" s="11" t="s">
        <v>513</v>
      </c>
      <c r="D68" s="7" t="s">
        <v>457</v>
      </c>
      <c r="E68" s="12">
        <v>519006</v>
      </c>
      <c r="F68" s="13">
        <v>2389.2399999999998</v>
      </c>
      <c r="G68" s="13">
        <v>0.74</v>
      </c>
      <c r="H68" s="24"/>
      <c r="I68" s="24"/>
    </row>
    <row r="69" spans="1:9" ht="13" customHeight="1" x14ac:dyDescent="0.35">
      <c r="A69" s="1" t="s">
        <v>514</v>
      </c>
      <c r="B69" s="10" t="s">
        <v>515</v>
      </c>
      <c r="C69" s="11" t="s">
        <v>516</v>
      </c>
      <c r="D69" s="7" t="s">
        <v>155</v>
      </c>
      <c r="E69" s="12">
        <v>700000</v>
      </c>
      <c r="F69" s="13">
        <v>2260.65</v>
      </c>
      <c r="G69" s="13">
        <v>0.7</v>
      </c>
      <c r="H69" s="24"/>
      <c r="I69" s="24"/>
    </row>
    <row r="70" spans="1:9" ht="13" customHeight="1" x14ac:dyDescent="0.35">
      <c r="A70" s="1" t="s">
        <v>517</v>
      </c>
      <c r="B70" s="10" t="s">
        <v>518</v>
      </c>
      <c r="C70" s="11" t="s">
        <v>519</v>
      </c>
      <c r="D70" s="7" t="s">
        <v>33</v>
      </c>
      <c r="E70" s="12">
        <v>1161906</v>
      </c>
      <c r="F70" s="13">
        <v>1547.43</v>
      </c>
      <c r="G70" s="13">
        <v>0.48</v>
      </c>
      <c r="H70" s="24"/>
      <c r="I70" s="24"/>
    </row>
    <row r="71" spans="1:9" ht="13" customHeight="1" x14ac:dyDescent="0.35">
      <c r="A71" s="1" t="s">
        <v>520</v>
      </c>
      <c r="B71" s="10" t="s">
        <v>521</v>
      </c>
      <c r="C71" s="11" t="s">
        <v>522</v>
      </c>
      <c r="D71" s="7" t="s">
        <v>33</v>
      </c>
      <c r="E71" s="12">
        <v>110000</v>
      </c>
      <c r="F71" s="13">
        <v>1311.42</v>
      </c>
      <c r="G71" s="13">
        <v>0.4</v>
      </c>
      <c r="H71" s="24"/>
      <c r="I71" s="24"/>
    </row>
    <row r="72" spans="1:9" ht="13" customHeight="1" x14ac:dyDescent="0.35">
      <c r="A72" s="1" t="s">
        <v>523</v>
      </c>
      <c r="B72" s="10" t="s">
        <v>524</v>
      </c>
      <c r="C72" s="11" t="s">
        <v>525</v>
      </c>
      <c r="D72" s="7" t="s">
        <v>393</v>
      </c>
      <c r="E72" s="12">
        <v>53110</v>
      </c>
      <c r="F72" s="13">
        <v>659.87</v>
      </c>
      <c r="G72" s="13">
        <v>0.2</v>
      </c>
      <c r="H72" s="24"/>
      <c r="I72" s="24"/>
    </row>
    <row r="73" spans="1:9" ht="13" customHeight="1" x14ac:dyDescent="0.35">
      <c r="A73" s="2"/>
      <c r="B73" s="6" t="s">
        <v>176</v>
      </c>
      <c r="C73" s="7"/>
      <c r="D73" s="7"/>
      <c r="E73" s="7"/>
      <c r="F73" s="15">
        <v>298377.33</v>
      </c>
      <c r="G73" s="15">
        <v>91.88</v>
      </c>
      <c r="H73" s="14"/>
      <c r="I73" s="14"/>
    </row>
    <row r="74" spans="1:9" ht="13" customHeight="1" x14ac:dyDescent="0.35">
      <c r="A74" s="2"/>
      <c r="B74" s="16" t="s">
        <v>177</v>
      </c>
      <c r="C74" s="17"/>
      <c r="D74" s="17"/>
      <c r="E74" s="18"/>
      <c r="F74" s="19" t="s">
        <v>178</v>
      </c>
      <c r="G74" s="19" t="s">
        <v>178</v>
      </c>
      <c r="H74" s="20" t="s">
        <v>178</v>
      </c>
      <c r="I74" s="20"/>
    </row>
    <row r="75" spans="1:9" ht="13" customHeight="1" x14ac:dyDescent="0.35">
      <c r="A75" s="2"/>
      <c r="B75" s="21" t="s">
        <v>176</v>
      </c>
      <c r="C75" s="22"/>
      <c r="D75" s="22"/>
      <c r="E75" s="19"/>
      <c r="F75" s="19" t="s">
        <v>178</v>
      </c>
      <c r="G75" s="19" t="s">
        <v>178</v>
      </c>
      <c r="H75" s="20" t="s">
        <v>178</v>
      </c>
      <c r="I75" s="20"/>
    </row>
    <row r="76" spans="1:9" ht="13" customHeight="1" x14ac:dyDescent="0.35">
      <c r="A76" s="2"/>
      <c r="B76" s="16" t="s">
        <v>179</v>
      </c>
      <c r="C76" s="17"/>
      <c r="D76" s="17"/>
      <c r="E76" s="23"/>
      <c r="F76" s="15">
        <v>298377.33</v>
      </c>
      <c r="G76" s="15">
        <v>91.88</v>
      </c>
      <c r="H76" s="20"/>
      <c r="I76" s="20"/>
    </row>
    <row r="77" spans="1:9" ht="13" customHeight="1" x14ac:dyDescent="0.35">
      <c r="A77" s="2"/>
      <c r="B77" s="6" t="s">
        <v>180</v>
      </c>
      <c r="C77" s="7"/>
      <c r="D77" s="7"/>
      <c r="E77" s="7"/>
      <c r="F77" s="7"/>
      <c r="G77" s="7"/>
      <c r="H77" s="8"/>
      <c r="I77" s="8"/>
    </row>
    <row r="78" spans="1:9" ht="13" customHeight="1" x14ac:dyDescent="0.35">
      <c r="A78" s="2"/>
      <c r="B78" s="6" t="s">
        <v>185</v>
      </c>
      <c r="C78" s="9"/>
      <c r="D78" s="9"/>
      <c r="E78" s="7"/>
      <c r="F78" s="7"/>
      <c r="G78" s="7"/>
      <c r="H78" s="8"/>
      <c r="I78" s="8"/>
    </row>
    <row r="79" spans="1:9" ht="13" customHeight="1" x14ac:dyDescent="0.35">
      <c r="A79" s="1" t="s">
        <v>264</v>
      </c>
      <c r="B79" s="10" t="s">
        <v>601</v>
      </c>
      <c r="C79" s="11" t="s">
        <v>265</v>
      </c>
      <c r="D79" s="7" t="s">
        <v>184</v>
      </c>
      <c r="E79" s="12">
        <v>1000000</v>
      </c>
      <c r="F79" s="13">
        <v>995.44</v>
      </c>
      <c r="G79" s="13">
        <v>0.31</v>
      </c>
      <c r="H79" s="24">
        <v>6.6895999999999997E-2</v>
      </c>
      <c r="I79" s="24"/>
    </row>
    <row r="80" spans="1:9" ht="13" customHeight="1" x14ac:dyDescent="0.35">
      <c r="A80" s="1" t="s">
        <v>268</v>
      </c>
      <c r="B80" s="10" t="s">
        <v>603</v>
      </c>
      <c r="C80" s="11" t="s">
        <v>269</v>
      </c>
      <c r="D80" s="7" t="s">
        <v>263</v>
      </c>
      <c r="E80" s="12">
        <v>1000000</v>
      </c>
      <c r="F80" s="13">
        <v>990.03</v>
      </c>
      <c r="G80" s="13">
        <v>0.3</v>
      </c>
      <c r="H80" s="24">
        <v>7.3498999999999995E-2</v>
      </c>
      <c r="I80" s="24"/>
    </row>
    <row r="81" spans="1:13" ht="13" customHeight="1" x14ac:dyDescent="0.35">
      <c r="A81" s="2"/>
      <c r="B81" s="6" t="s">
        <v>176</v>
      </c>
      <c r="C81" s="7"/>
      <c r="D81" s="7"/>
      <c r="E81" s="7"/>
      <c r="F81" s="15">
        <v>1985.47</v>
      </c>
      <c r="G81" s="15">
        <v>0.61</v>
      </c>
      <c r="H81" s="14"/>
      <c r="I81" s="14"/>
    </row>
    <row r="82" spans="1:13" ht="13" customHeight="1" x14ac:dyDescent="0.35">
      <c r="A82" s="2"/>
      <c r="B82" s="6" t="s">
        <v>188</v>
      </c>
      <c r="C82" s="9"/>
      <c r="D82" s="9"/>
      <c r="E82" s="7"/>
      <c r="F82" s="7"/>
      <c r="G82" s="7"/>
      <c r="H82" s="8"/>
      <c r="I82" s="8"/>
    </row>
    <row r="83" spans="1:13" ht="13" customHeight="1" x14ac:dyDescent="0.35">
      <c r="A83" s="1" t="s">
        <v>189</v>
      </c>
      <c r="B83" s="10" t="s">
        <v>190</v>
      </c>
      <c r="C83" s="11"/>
      <c r="D83" s="7"/>
      <c r="E83" s="12"/>
      <c r="F83" s="13">
        <v>25317.23</v>
      </c>
      <c r="G83" s="13">
        <v>7.79</v>
      </c>
      <c r="H83" s="24">
        <v>5.0814095910829381E-2</v>
      </c>
      <c r="I83" s="24"/>
    </row>
    <row r="84" spans="1:13" ht="13" customHeight="1" x14ac:dyDescent="0.35">
      <c r="A84" s="2"/>
      <c r="B84" s="6" t="s">
        <v>176</v>
      </c>
      <c r="C84" s="7"/>
      <c r="D84" s="7"/>
      <c r="E84" s="7"/>
      <c r="F84" s="15">
        <v>25317.23</v>
      </c>
      <c r="G84" s="15">
        <v>7.79</v>
      </c>
      <c r="H84" s="14"/>
      <c r="I84" s="14"/>
    </row>
    <row r="85" spans="1:13" ht="13" customHeight="1" x14ac:dyDescent="0.35">
      <c r="A85" s="2"/>
      <c r="B85" s="16" t="s">
        <v>179</v>
      </c>
      <c r="C85" s="17"/>
      <c r="D85" s="17"/>
      <c r="E85" s="23"/>
      <c r="F85" s="15">
        <v>27302.7</v>
      </c>
      <c r="G85" s="15">
        <v>8.4</v>
      </c>
      <c r="H85" s="20"/>
      <c r="I85" s="20"/>
    </row>
    <row r="86" spans="1:13" ht="13" customHeight="1" x14ac:dyDescent="0.35">
      <c r="A86" s="2"/>
      <c r="B86" s="16" t="s">
        <v>191</v>
      </c>
      <c r="C86" s="17"/>
      <c r="D86" s="17"/>
      <c r="E86" s="7"/>
      <c r="F86" s="15">
        <v>-846.84</v>
      </c>
      <c r="G86" s="15">
        <v>-0.28000000000000003</v>
      </c>
      <c r="H86" s="20"/>
      <c r="I86" s="20"/>
    </row>
    <row r="87" spans="1:13" ht="13" customHeight="1" x14ac:dyDescent="0.35">
      <c r="A87" s="2"/>
      <c r="B87" s="25" t="s">
        <v>192</v>
      </c>
      <c r="C87" s="26"/>
      <c r="D87" s="26"/>
      <c r="E87" s="26"/>
      <c r="F87" s="27">
        <v>324833.19</v>
      </c>
      <c r="G87" s="28">
        <v>100</v>
      </c>
      <c r="H87" s="29"/>
      <c r="I87" s="29"/>
    </row>
    <row r="88" spans="1:13" ht="13" customHeight="1" x14ac:dyDescent="0.35">
      <c r="A88" s="2"/>
      <c r="B88" s="73"/>
      <c r="C88" s="73"/>
      <c r="D88" s="73"/>
      <c r="E88" s="73"/>
      <c r="F88" s="2"/>
      <c r="G88" s="2"/>
      <c r="H88" s="2"/>
      <c r="I88" s="2"/>
    </row>
    <row r="89" spans="1:13" ht="13" customHeight="1" x14ac:dyDescent="0.35">
      <c r="A89" s="44"/>
      <c r="B89" s="73" t="s">
        <v>193</v>
      </c>
      <c r="C89" s="73"/>
      <c r="D89" s="73"/>
      <c r="E89" s="73"/>
      <c r="F89" s="44"/>
      <c r="G89" s="44"/>
      <c r="H89" s="44"/>
      <c r="I89" s="44"/>
      <c r="J89" s="44"/>
      <c r="K89" s="44"/>
      <c r="L89" s="44"/>
      <c r="M89" s="44"/>
    </row>
    <row r="90" spans="1:13" ht="13" customHeight="1" x14ac:dyDescent="0.35">
      <c r="A90" s="44"/>
      <c r="B90" s="73" t="s">
        <v>572</v>
      </c>
      <c r="C90" s="73"/>
      <c r="D90" s="73"/>
      <c r="E90" s="73"/>
      <c r="F90" s="44"/>
      <c r="G90" s="44"/>
      <c r="H90" s="44"/>
      <c r="I90" s="44"/>
      <c r="J90" s="44"/>
      <c r="K90" s="44"/>
      <c r="L90" s="44"/>
      <c r="M90" s="44"/>
    </row>
    <row r="91" spans="1:13" ht="13" hidden="1" customHeight="1" x14ac:dyDescent="0.35">
      <c r="A91" s="44"/>
      <c r="B91" s="75" t="s">
        <v>194</v>
      </c>
      <c r="C91" s="75"/>
      <c r="D91" s="75"/>
      <c r="E91" s="75"/>
      <c r="F91" s="44"/>
      <c r="G91" s="44"/>
      <c r="H91" s="44"/>
      <c r="I91" s="44"/>
      <c r="J91" s="44"/>
      <c r="K91" s="44"/>
      <c r="L91" s="44"/>
      <c r="M91" s="44"/>
    </row>
    <row r="92" spans="1:13" ht="13" customHeight="1" x14ac:dyDescent="0.35">
      <c r="A92" s="44"/>
      <c r="B92" s="45" t="s">
        <v>526</v>
      </c>
      <c r="C92" s="46"/>
      <c r="D92" s="46"/>
      <c r="E92" s="46"/>
      <c r="F92" s="44"/>
      <c r="G92" s="44"/>
      <c r="H92" s="44"/>
      <c r="I92" s="44"/>
      <c r="J92" s="44"/>
      <c r="K92" s="44"/>
      <c r="L92" s="44"/>
      <c r="M92" s="44"/>
    </row>
    <row r="93" spans="1:13" ht="13" customHeight="1" x14ac:dyDescent="0.35">
      <c r="A93" s="44"/>
      <c r="B93" s="75"/>
      <c r="C93" s="75"/>
      <c r="D93" s="75"/>
      <c r="E93" s="75"/>
      <c r="F93" s="44"/>
      <c r="G93" s="44"/>
      <c r="H93" s="44"/>
      <c r="I93" s="44"/>
      <c r="J93" s="44"/>
      <c r="K93" s="44"/>
      <c r="L93" s="44"/>
      <c r="M93" s="44"/>
    </row>
    <row r="94" spans="1:13" ht="13" customHeight="1" x14ac:dyDescent="0.35">
      <c r="A94" s="44"/>
      <c r="B94" s="73" t="s">
        <v>195</v>
      </c>
      <c r="C94" s="73"/>
      <c r="D94" s="73"/>
      <c r="E94" s="73"/>
      <c r="F94" s="44"/>
      <c r="G94" s="44"/>
      <c r="H94" s="44"/>
      <c r="I94" s="44"/>
      <c r="J94" s="44"/>
      <c r="K94" s="44"/>
      <c r="L94" s="44"/>
      <c r="M94" s="44"/>
    </row>
    <row r="95" spans="1:13" ht="13" customHeight="1" x14ac:dyDescent="0.35">
      <c r="A95" s="44"/>
      <c r="B95" s="49" t="s">
        <v>556</v>
      </c>
      <c r="C95" s="49"/>
      <c r="D95" s="49"/>
      <c r="E95" s="49"/>
      <c r="F95" s="44"/>
      <c r="G95" s="44"/>
      <c r="H95" s="44"/>
      <c r="I95" s="44"/>
      <c r="J95" s="44"/>
      <c r="K95" s="44"/>
      <c r="L95" s="44"/>
      <c r="M95" s="44"/>
    </row>
    <row r="96" spans="1:13" ht="13" customHeight="1" x14ac:dyDescent="0.35">
      <c r="A96" s="44"/>
      <c r="B96" s="49" t="s">
        <v>527</v>
      </c>
      <c r="C96" s="49"/>
      <c r="D96" s="49"/>
      <c r="E96" s="49"/>
      <c r="F96" s="44"/>
      <c r="G96" s="44"/>
      <c r="H96" s="44"/>
      <c r="I96" s="44"/>
      <c r="J96" s="44"/>
      <c r="K96" s="44"/>
      <c r="L96" s="44"/>
      <c r="M96" s="44"/>
    </row>
    <row r="97" spans="2:13" x14ac:dyDescent="0.35">
      <c r="B97" s="51" t="s">
        <v>528</v>
      </c>
      <c r="C97" s="51"/>
      <c r="D97" s="51"/>
      <c r="E97" s="51"/>
      <c r="F97" s="44"/>
      <c r="G97" s="44"/>
      <c r="H97" s="44"/>
      <c r="I97" s="44"/>
      <c r="J97" s="44"/>
      <c r="K97" s="44"/>
      <c r="L97" s="44"/>
      <c r="M97" s="44"/>
    </row>
    <row r="98" spans="2:13" x14ac:dyDescent="0.35">
      <c r="B98" s="30" t="s">
        <v>529</v>
      </c>
      <c r="C98" s="52" t="s">
        <v>557</v>
      </c>
      <c r="D98" s="52" t="s">
        <v>530</v>
      </c>
      <c r="E98" s="44"/>
      <c r="F98" s="44"/>
      <c r="G98" s="44"/>
      <c r="H98" s="44"/>
      <c r="I98" s="44"/>
      <c r="J98" s="44"/>
      <c r="K98" s="44"/>
      <c r="L98" s="44"/>
      <c r="M98" s="44"/>
    </row>
    <row r="99" spans="2:13" x14ac:dyDescent="0.35">
      <c r="B99" s="47" t="s">
        <v>531</v>
      </c>
      <c r="C99" s="53">
        <v>12.355</v>
      </c>
      <c r="D99" s="53">
        <v>12.679</v>
      </c>
      <c r="E99" s="53"/>
      <c r="F99" s="44"/>
      <c r="G99" s="44"/>
      <c r="H99" s="44"/>
      <c r="I99" s="44"/>
      <c r="J99" s="44"/>
      <c r="K99" s="44"/>
      <c r="L99" s="44"/>
      <c r="M99" s="44"/>
    </row>
    <row r="100" spans="2:13" x14ac:dyDescent="0.35">
      <c r="B100" s="47" t="s">
        <v>534</v>
      </c>
      <c r="C100" s="53">
        <v>12.265000000000001</v>
      </c>
      <c r="D100" s="53">
        <v>12.601000000000001</v>
      </c>
      <c r="E100" s="58"/>
      <c r="F100" s="44"/>
      <c r="G100" s="44"/>
      <c r="H100" s="44"/>
      <c r="I100" s="44"/>
      <c r="J100" s="44"/>
      <c r="K100" s="44"/>
      <c r="L100" s="44"/>
      <c r="M100" s="44"/>
    </row>
    <row r="101" spans="2:13" x14ac:dyDescent="0.35">
      <c r="B101" s="76" t="s">
        <v>568</v>
      </c>
      <c r="C101" s="76"/>
      <c r="D101" s="76"/>
      <c r="E101" s="76"/>
      <c r="F101" s="44"/>
      <c r="G101" s="44"/>
      <c r="H101" s="44"/>
      <c r="I101" s="44"/>
      <c r="J101" s="44"/>
      <c r="K101" s="44"/>
      <c r="L101" s="44"/>
      <c r="M101" s="44"/>
    </row>
    <row r="102" spans="2:13" x14ac:dyDescent="0.35">
      <c r="B102" s="78" t="s">
        <v>573</v>
      </c>
      <c r="C102" s="78"/>
      <c r="D102" s="78"/>
      <c r="E102" s="78"/>
      <c r="F102" s="44"/>
      <c r="G102" s="44"/>
      <c r="H102" s="44"/>
      <c r="I102" s="44"/>
      <c r="J102" s="44"/>
      <c r="K102" s="44"/>
      <c r="L102" s="44"/>
      <c r="M102" s="44"/>
    </row>
    <row r="103" spans="2:13" x14ac:dyDescent="0.35">
      <c r="B103" s="78" t="s">
        <v>578</v>
      </c>
      <c r="C103" s="78"/>
      <c r="D103" s="78"/>
      <c r="E103" s="78"/>
      <c r="F103" s="44"/>
      <c r="G103" s="44"/>
      <c r="H103" s="44"/>
      <c r="I103" s="44"/>
      <c r="J103" s="44"/>
      <c r="K103" s="44"/>
      <c r="L103" s="44"/>
      <c r="M103" s="44"/>
    </row>
    <row r="104" spans="2:13" x14ac:dyDescent="0.35">
      <c r="B104" s="78" t="s">
        <v>569</v>
      </c>
      <c r="C104" s="78"/>
      <c r="D104" s="78"/>
      <c r="E104" s="78"/>
      <c r="F104" s="44"/>
      <c r="G104" s="44"/>
      <c r="H104" s="44"/>
      <c r="I104" s="44"/>
      <c r="J104" s="44"/>
      <c r="K104" s="44"/>
      <c r="L104" s="44"/>
      <c r="M104" s="44"/>
    </row>
    <row r="105" spans="2:13" x14ac:dyDescent="0.35">
      <c r="B105" s="55" t="s">
        <v>579</v>
      </c>
      <c r="C105" s="56"/>
      <c r="D105" s="56"/>
      <c r="E105" s="54"/>
      <c r="F105" s="44"/>
      <c r="G105" s="44"/>
      <c r="H105" s="44"/>
      <c r="I105" s="44"/>
      <c r="J105" s="44"/>
      <c r="K105" s="44"/>
      <c r="L105" s="44"/>
      <c r="M105" s="44"/>
    </row>
    <row r="106" spans="2:13" x14ac:dyDescent="0.35">
      <c r="B106" s="77" t="s">
        <v>580</v>
      </c>
      <c r="C106" s="77"/>
      <c r="D106" s="77"/>
      <c r="E106" s="54"/>
      <c r="F106" s="44"/>
      <c r="G106" s="44"/>
      <c r="H106" s="44"/>
      <c r="I106" s="44"/>
      <c r="J106" s="44"/>
      <c r="K106" s="44"/>
      <c r="L106" s="44"/>
      <c r="M106" s="44"/>
    </row>
    <row r="107" spans="2:13" x14ac:dyDescent="0.35">
      <c r="B107" s="77" t="s">
        <v>548</v>
      </c>
      <c r="C107" s="77"/>
      <c r="D107" s="77"/>
      <c r="F107" s="44"/>
      <c r="G107" s="44"/>
      <c r="H107" s="44"/>
      <c r="I107" s="44"/>
      <c r="J107" s="44"/>
      <c r="K107" s="44"/>
      <c r="M107" s="44"/>
    </row>
    <row r="108" spans="2:13" x14ac:dyDescent="0.35">
      <c r="B108" s="77" t="s">
        <v>570</v>
      </c>
      <c r="C108" s="77"/>
      <c r="D108" s="77"/>
    </row>
    <row r="109" spans="2:13" x14ac:dyDescent="0.35">
      <c r="B109" s="77" t="s">
        <v>550</v>
      </c>
      <c r="C109" s="77"/>
      <c r="D109" s="77"/>
    </row>
    <row r="110" spans="2:13" x14ac:dyDescent="0.35">
      <c r="B110" s="57" t="s">
        <v>581</v>
      </c>
    </row>
    <row r="111" spans="2:13" x14ac:dyDescent="0.35">
      <c r="B111" t="s">
        <v>571</v>
      </c>
    </row>
    <row r="112" spans="2:13" x14ac:dyDescent="0.35">
      <c r="B112" t="s">
        <v>551</v>
      </c>
    </row>
    <row r="113" spans="2:2" x14ac:dyDescent="0.35">
      <c r="B113" t="s">
        <v>552</v>
      </c>
    </row>
    <row r="116" spans="2:2" x14ac:dyDescent="0.35">
      <c r="B116" s="80" t="s">
        <v>628</v>
      </c>
    </row>
    <row r="117" spans="2:2" x14ac:dyDescent="0.35">
      <c r="B117" s="80"/>
    </row>
    <row r="118" spans="2:2" x14ac:dyDescent="0.35">
      <c r="B118" s="80"/>
    </row>
    <row r="119" spans="2:2" x14ac:dyDescent="0.35">
      <c r="B119" s="80"/>
    </row>
    <row r="120" spans="2:2" x14ac:dyDescent="0.35">
      <c r="B120" s="80"/>
    </row>
    <row r="121" spans="2:2" x14ac:dyDescent="0.35">
      <c r="B121" s="67"/>
    </row>
    <row r="122" spans="2:2" x14ac:dyDescent="0.35">
      <c r="B122" s="68" t="s">
        <v>616</v>
      </c>
    </row>
    <row r="134" spans="2:2" x14ac:dyDescent="0.35">
      <c r="B134" s="69" t="s">
        <v>629</v>
      </c>
    </row>
    <row r="135" spans="2:2" x14ac:dyDescent="0.35">
      <c r="B135" s="69" t="s">
        <v>618</v>
      </c>
    </row>
  </sheetData>
  <mergeCells count="19">
    <mergeCell ref="B106:D106"/>
    <mergeCell ref="B107:D107"/>
    <mergeCell ref="B108:D108"/>
    <mergeCell ref="B109:D109"/>
    <mergeCell ref="B116:B120"/>
    <mergeCell ref="B1:I1"/>
    <mergeCell ref="B3:I3"/>
    <mergeCell ref="B2:I2"/>
    <mergeCell ref="B4:I4"/>
    <mergeCell ref="B88:E88"/>
    <mergeCell ref="B101:E101"/>
    <mergeCell ref="B102:E102"/>
    <mergeCell ref="B103:E103"/>
    <mergeCell ref="B94:E94"/>
    <mergeCell ref="B89:E89"/>
    <mergeCell ref="B90:E90"/>
    <mergeCell ref="B91:E91"/>
    <mergeCell ref="B93:E93"/>
    <mergeCell ref="B104:E104"/>
  </mergeCells>
  <pageMargins left="0" right="0" top="0" bottom="0" header="0" footer="0"/>
  <pageSetup orientation="portrait"/>
  <headerFooter>
    <oddFooter xml:space="preserve">&amp;C_x000D_&amp;1#&amp;"Aptos"&amp;10&amp;K000000  For internal use only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529E850426D454CB89FB9EA8FEFEF0A" ma:contentTypeVersion="14" ma:contentTypeDescription="Create a new document." ma:contentTypeScope="" ma:versionID="d496f4091380d8046992a9ccdba8c3cc">
  <xsd:schema xmlns:xsd="http://www.w3.org/2001/XMLSchema" xmlns:xs="http://www.w3.org/2001/XMLSchema" xmlns:p="http://schemas.microsoft.com/office/2006/metadata/properties" xmlns:ns1="http://schemas.microsoft.com/sharepoint/v3" xmlns:ns2="af0b1d1c-3daa-4f6b-9fc2-ae5d97eab6c7" xmlns:ns3="ea2584c6-e565-436d-9597-ce0da8a71fe7" targetNamespace="http://schemas.microsoft.com/office/2006/metadata/properties" ma:root="true" ma:fieldsID="49f635b2d8e273ce2eae955985d0a1fb" ns1:_="" ns2:_="" ns3:_="">
    <xsd:import namespace="http://schemas.microsoft.com/sharepoint/v3"/>
    <xsd:import namespace="af0b1d1c-3daa-4f6b-9fc2-ae5d97eab6c7"/>
    <xsd:import namespace="ea2584c6-e565-436d-9597-ce0da8a71f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0b1d1c-3daa-4f6b-9fc2-ae5d97eab6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134cd3e-748a-4d54-a967-5d1683eed8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2584c6-e565-436d-9597-ce0da8a71f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f8ff4d5-b324-4a89-b43a-7b1a53763db6}" ma:internalName="TaxCatchAll" ma:showField="CatchAllData" ma:web="ea2584c6-e565-436d-9597-ce0da8a71f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ea2584c6-e565-436d-9597-ce0da8a71fe7" xsi:nil="true"/>
    <lcf76f155ced4ddcb4097134ff3c332f xmlns="af0b1d1c-3daa-4f6b-9fc2-ae5d97eab6c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127685-0900-4F1A-8577-18EBDE4645C5}">
  <ds:schemaRefs>
    <ds:schemaRef ds:uri="http://schemas.microsoft.com/sharepoint/v3/contenttype/forms"/>
  </ds:schemaRefs>
</ds:datastoreItem>
</file>

<file path=customXml/itemProps2.xml><?xml version="1.0" encoding="utf-8"?>
<ds:datastoreItem xmlns:ds="http://schemas.openxmlformats.org/officeDocument/2006/customXml" ds:itemID="{CFAE07C8-EEF9-4601-85BE-BD7D256D74FA}"/>
</file>

<file path=customXml/itemProps3.xml><?xml version="1.0" encoding="utf-8"?>
<ds:datastoreItem xmlns:ds="http://schemas.openxmlformats.org/officeDocument/2006/customXml" ds:itemID="{6E1F17C3-7B80-4467-984A-4C7132CD1EB5}">
  <ds:schemaRefs>
    <ds:schemaRef ds:uri="http://schemas.microsoft.com/office/2006/metadata/properties"/>
    <ds:schemaRef ds:uri="http://schemas.microsoft.com/office/infopath/2007/PartnerControls"/>
    <ds:schemaRef ds:uri="http://schemas.microsoft.com/sharepoint/v3"/>
    <ds:schemaRef ds:uri="e34ebc18-8081-4b0b-b19d-13a79631d032"/>
    <ds:schemaRef ds:uri="ea2584c6-e565-436d-9597-ce0da8a71fe7"/>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Index</vt:lpstr>
      <vt:lpstr>ABAFC</vt:lpstr>
      <vt:lpstr>ABALI</vt:lpstr>
      <vt:lpstr>ABALM</vt:lpstr>
      <vt:lpstr>ABASC</vt:lpstr>
      <vt:lpstr>JR_PAGE_ANCHOR_0_1</vt:lpstr>
      <vt:lpstr>JR_PAGE_ANCHOR_0_2</vt:lpstr>
      <vt:lpstr>JR_PAGE_ANCHOR_0_3</vt:lpstr>
      <vt:lpstr>JR_PAGE_ANCHOR_0_4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2026-10-07T11:29:44Z</dcterms:created>
  <dcterms:modified xsi:type="dcterms:W3CDTF">2026-10-07T11:42:36Z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2026-10-02T09:44:36Z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665be783-13b1-4b41-97cd-64b79ce13bb5</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y fmtid="{D5CDD505-2E9C-101B-9397-08002B2CF9AE}" pid="10" name="ContentTypeId">
    <vt:lpwstr>0x0101006529E850426D454CB89FB9EA8FEFEF0A</vt:lpwstr>
  </property>
</Properties>
</file>