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defaultThemeVersion="166925"/>
  <mc:AlternateContent xmlns:mc="http://schemas.openxmlformats.org/markup-compatibility/2006">
    <mc:Choice Requires="x15">
      <x15ac:absPath xmlns:x15ac="http://schemas.microsoft.com/office/spreadsheetml/2010/11/ac" url="G:\p\NAV All Files 2006-2007\Monthly Portfolio\Sept 2026\Monthly\Monthly portfolio for Sep 2026\"/>
    </mc:Choice>
  </mc:AlternateContent>
  <xr:revisionPtr revIDLastSave="0" documentId="13_ncr:1_{317A7815-AF28-42B1-9C51-42E48EBA8E20}" xr6:coauthVersionLast="47" xr6:coauthVersionMax="47" xr10:uidLastSave="{00000000-0000-0000-0000-000000000000}"/>
  <bookViews>
    <workbookView xWindow="-110" yWindow="-110" windowWidth="19420" windowHeight="11500" xr2:uid="{00000000-000D-0000-FFFF-FFFF00000000}"/>
  </bookViews>
  <sheets>
    <sheet name="JM Large Cap Fund" sheetId="1" r:id="rId1"/>
  </sheets>
  <definedNames>
    <definedName name="_xlnm._FilterDatabase" localSheetId="0" hidden="1">'JM Large Cap Fund'!$B$4:$I$82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Fund'!$B$1:$F$82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0" i="1" l="1"/>
  <c r="E90" i="1"/>
</calcChain>
</file>

<file path=xl/sharedStrings.xml><?xml version="1.0" encoding="utf-8"?>
<sst xmlns="http://schemas.openxmlformats.org/spreadsheetml/2006/main" count="350" uniqueCount="233">
  <si>
    <t xml:space="preserve"> The risk of the benchmark is Very High </t>
  </si>
  <si>
    <t>*Investors should consult their financial advisers if in doubt about whether the product is suitable for them.</t>
  </si>
  <si>
    <t>• Investment predominantly in Equity &amp; Equity related securities in the Large Cap segment.</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</si>
  <si>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</si>
  <si>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</si>
  <si>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</si>
  <si>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</si>
  <si>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</si>
  <si>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</si>
  <si>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</si>
  <si>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Large Cap Fund (An open ended equity scheme predominantly investing in large cap stocks.)</t>
  </si>
  <si>
    <t>JM Financial Mutual Fund</t>
  </si>
  <si>
    <t>NIL</t>
  </si>
  <si>
    <t>Total</t>
  </si>
  <si>
    <t>(b) Privately placed / Unlisted</t>
  </si>
  <si>
    <t>Cash &amp; Cash Equivalents</t>
  </si>
  <si>
    <t>Net Receivable/Payable</t>
  </si>
  <si>
    <t>HDFC Bank Limited</t>
  </si>
  <si>
    <t>Reliance Industries Limited</t>
  </si>
  <si>
    <t>ICICI Bank Limited</t>
  </si>
  <si>
    <t>State Bank of India</t>
  </si>
  <si>
    <t>Bajaj Finance Limited</t>
  </si>
  <si>
    <t>Infosys Limited</t>
  </si>
  <si>
    <t>Bharti Airtel Limited</t>
  </si>
  <si>
    <t>Larsen &amp; Toubro Limited</t>
  </si>
  <si>
    <t>Maruti Suzuki India Limited</t>
  </si>
  <si>
    <t>Axis Bank Limited</t>
  </si>
  <si>
    <t>United Spirits Limited</t>
  </si>
  <si>
    <t>Bajaj Auto Limited</t>
  </si>
  <si>
    <t>InterGlobe Aviation Limited</t>
  </si>
  <si>
    <t>Kotak Mahindra Bank Limited</t>
  </si>
  <si>
    <t>Mahindra &amp; Mahindra Limited</t>
  </si>
  <si>
    <t>JSW Energy Limited</t>
  </si>
  <si>
    <t>Apollo Hospitals Enterprise Limited</t>
  </si>
  <si>
    <t>UltraTech Cement Limited</t>
  </si>
  <si>
    <t>Torrent Pharmaceuticals Limited</t>
  </si>
  <si>
    <t>Name of Instrument</t>
  </si>
  <si>
    <t>Rating/Industry</t>
  </si>
  <si>
    <t>Market Value (In Rs. lakh)</t>
  </si>
  <si>
    <t>% To Net Assets</t>
  </si>
  <si>
    <t>Maturity Date</t>
  </si>
  <si>
    <t>Put/Call Option</t>
  </si>
  <si>
    <t>Yield</t>
  </si>
  <si>
    <t>EQUITY &amp; EQUITY RELATED</t>
  </si>
  <si>
    <t>(a) Listed / awaiting listing on the stock exchanges</t>
  </si>
  <si>
    <t>Tech Mahindra Limited</t>
  </si>
  <si>
    <t>Shriram Finance Limited</t>
  </si>
  <si>
    <t>Bharat Electronics Limited</t>
  </si>
  <si>
    <t>TVS Motor Company Limited</t>
  </si>
  <si>
    <t>Sub Total</t>
  </si>
  <si>
    <t>(b) Unlisted</t>
  </si>
  <si>
    <t>DEBT INSTRUMENTS</t>
  </si>
  <si>
    <t>(a) Listed / awaiting listing on Stock Exchanges</t>
  </si>
  <si>
    <t>(c) Securitized Debt Instruments</t>
  </si>
  <si>
    <t>(d) Government Securities / SDL</t>
  </si>
  <si>
    <t>MONEY MARKET INSTRUMENTS</t>
  </si>
  <si>
    <t>Grand Total</t>
  </si>
  <si>
    <t>ISIN</t>
  </si>
  <si>
    <t>INE040A01034</t>
  </si>
  <si>
    <t>INE090A01021</t>
  </si>
  <si>
    <t>INE062A01020</t>
  </si>
  <si>
    <t>INE018A01030</t>
  </si>
  <si>
    <t>INE009A01021</t>
  </si>
  <si>
    <t>INE002A01018</t>
  </si>
  <si>
    <t>INE397D01024</t>
  </si>
  <si>
    <t>INE238A01034</t>
  </si>
  <si>
    <t>INE854D01024</t>
  </si>
  <si>
    <t>INE669C01036</t>
  </si>
  <si>
    <t>INE646L01027</t>
  </si>
  <si>
    <t>INE917I01010</t>
  </si>
  <si>
    <t>INE585B01010</t>
  </si>
  <si>
    <t>INE101A01026</t>
  </si>
  <si>
    <t>INE721A01047</t>
  </si>
  <si>
    <t>INE437A01024</t>
  </si>
  <si>
    <t>INE481G01011</t>
  </si>
  <si>
    <t>INE214T01019</t>
  </si>
  <si>
    <t>INE263A01024</t>
  </si>
  <si>
    <t>INE121E01018</t>
  </si>
  <si>
    <t>INE685A01028</t>
  </si>
  <si>
    <t>INE494B01023</t>
  </si>
  <si>
    <t>INE081A01020</t>
  </si>
  <si>
    <t>Tata Steel Limited</t>
  </si>
  <si>
    <t>INE742F01042</t>
  </si>
  <si>
    <t>Adani Port &amp; Special Economic Zone Ltd</t>
  </si>
  <si>
    <t>INE361B01024</t>
  </si>
  <si>
    <t>Divi's Laboratories Limited</t>
  </si>
  <si>
    <t>INE296A01032</t>
  </si>
  <si>
    <t>INE982J01020</t>
  </si>
  <si>
    <t>One 97 Communications Limited</t>
  </si>
  <si>
    <t>INE466L01038</t>
  </si>
  <si>
    <t>360 ONE WAM LIMITED</t>
  </si>
  <si>
    <t>INE053A01029</t>
  </si>
  <si>
    <t>The Indian Hotels Company Limited</t>
  </si>
  <si>
    <t>INE067A01029</t>
  </si>
  <si>
    <t>CG Power And Industrial Solutions Ltd</t>
  </si>
  <si>
    <t>INE758T01015</t>
  </si>
  <si>
    <t>Eternal Limited</t>
  </si>
  <si>
    <t>INE280A01028</t>
  </si>
  <si>
    <t>Titan Company Limited</t>
  </si>
  <si>
    <t>INE455K01017</t>
  </si>
  <si>
    <t>Polycab India Limited</t>
  </si>
  <si>
    <t>^YTC (AT1/Tier 2 bonds)</t>
  </si>
  <si>
    <t xml:space="preserve">                                          Riskometer of the scheme </t>
  </si>
  <si>
    <t xml:space="preserve">                        The risk of the scheme is Very High</t>
  </si>
  <si>
    <t>Scheme performance</t>
  </si>
  <si>
    <t>https://www.jmfinancialmf.com/products/Equity/JM-Large-Cap-Fund/J02/Regular-Plan-Growth-Option</t>
  </si>
  <si>
    <t>https://www.jmfinancialmf.com/products/Equity/JM-Large-Cap-Fund/J442/Direct-Plan-Growth-Option</t>
  </si>
  <si>
    <t>Regular Plan</t>
  </si>
  <si>
    <t>Direct Plan</t>
  </si>
  <si>
    <t>INE161F01011</t>
  </si>
  <si>
    <t>Anirit Ventures Ltd</t>
  </si>
  <si>
    <t>INE237A01036</t>
  </si>
  <si>
    <t>INE647A01010</t>
  </si>
  <si>
    <t>SRF Limited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</si>
  <si>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</si>
  <si>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</si>
  <si>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</si>
  <si>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</si>
  <si>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</si>
  <si>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
  </si>
  <si>
    <t>NOTES :</t>
  </si>
  <si>
    <t>Value of the security including interest classified as below investment grade or default and its % age to NAV considered under Net Current Assets is as below:</t>
  </si>
  <si>
    <t>Security</t>
  </si>
  <si>
    <t>Rs. In Lakhs</t>
  </si>
  <si>
    <t>% to NAV</t>
  </si>
  <si>
    <t>Total Amount (including principal and interest) that is due to the scheme.</t>
  </si>
  <si>
    <t>As on</t>
  </si>
  <si>
    <t>Net Asset Values per unit as follows - Plan/Option</t>
  </si>
  <si>
    <t>(Regular) - IDCW Option</t>
  </si>
  <si>
    <t>(Regular) - Growth Option</t>
  </si>
  <si>
    <t>(Regular) - Monthly IDCW Option</t>
  </si>
  <si>
    <t>(Regular) - Quarterly IDCW Option</t>
  </si>
  <si>
    <t>(Regular) - Half Yearly IDCW Option</t>
  </si>
  <si>
    <t>(Regular) - Annual IDCW Option</t>
  </si>
  <si>
    <t>(Direct) - IDCW Option</t>
  </si>
  <si>
    <t>(Direct) - Growth Option</t>
  </si>
  <si>
    <t>(Direct) - Monthly IDCW Option</t>
  </si>
  <si>
    <t>(Direct) - Quarterly IDCW Option</t>
  </si>
  <si>
    <t>(Direct) - Half Yearly IDCW Option</t>
  </si>
  <si>
    <t>(Direct) - Annual IDCW Option</t>
  </si>
  <si>
    <t>(Regular) -IDCW Option</t>
  </si>
  <si>
    <t>(Rs.) per unit</t>
  </si>
  <si>
    <t>(Direct) -  Monthly IDCW Option</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</si>
  <si>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</si>
  <si>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</si>
  <si>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</si>
  <si>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</si>
  <si>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</si>
  <si>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</si>
  <si>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 xml:space="preserve">                                                                Benchmark of the scheme - BSE 100 TRI </t>
  </si>
  <si>
    <t>INE298A01020</t>
  </si>
  <si>
    <t>Cummins India Limited</t>
  </si>
  <si>
    <t>INE192A01025</t>
  </si>
  <si>
    <t>Tata Consumer Products Limited</t>
  </si>
  <si>
    <t>INE423A01024</t>
  </si>
  <si>
    <t>Adani Enterprises Limited</t>
  </si>
  <si>
    <t>INE775A01035</t>
  </si>
  <si>
    <t>Samvardhana Motherson International Ltd</t>
  </si>
  <si>
    <t>INE1CDF01017</t>
  </si>
  <si>
    <t>Vedanta Aluminium Metal Limited</t>
  </si>
  <si>
    <t>INE343H01029</t>
  </si>
  <si>
    <t>Solar Industries India Limited</t>
  </si>
  <si>
    <t>INE07Y701011</t>
  </si>
  <si>
    <t>Hitachi Energy India Limited</t>
  </si>
  <si>
    <t>INE0HOQ01053</t>
  </si>
  <si>
    <t>Billionbrains Garage Ventures Ltd.</t>
  </si>
  <si>
    <t>INE118H01025</t>
  </si>
  <si>
    <t>BSE Ltd</t>
  </si>
  <si>
    <t>INE640G01020</t>
  </si>
  <si>
    <t>SBI Funds Management Ltd</t>
  </si>
  <si>
    <t>Underlying</t>
  </si>
  <si>
    <t>Long / Short</t>
  </si>
  <si>
    <t>Futures price when purchased (Rs.)</t>
  </si>
  <si>
    <t>Current  price of the Contract (Rs.)</t>
  </si>
  <si>
    <t>Total Margin maintained in   (Rs. In Lakhs)</t>
  </si>
  <si>
    <t>Construction</t>
  </si>
  <si>
    <t>Healthcare Services</t>
  </si>
  <si>
    <t>Power</t>
  </si>
  <si>
    <t>INE010B01027</t>
  </si>
  <si>
    <t>Zydus Lifesciences Limited</t>
  </si>
  <si>
    <t>Textiles &amp; Apparels</t>
  </si>
  <si>
    <t>Banks</t>
  </si>
  <si>
    <t>Telecom - Services</t>
  </si>
  <si>
    <t>Petroleum Products</t>
  </si>
  <si>
    <t>Pharmaceuticals &amp; Biotechnology</t>
  </si>
  <si>
    <t>Finance</t>
  </si>
  <si>
    <t>Consumer Durables</t>
  </si>
  <si>
    <t>Financial Technology (Fintech)</t>
  </si>
  <si>
    <t>Automobiles</t>
  </si>
  <si>
    <t>Transport Infrastructure</t>
  </si>
  <si>
    <t>IT - Software</t>
  </si>
  <si>
    <t>Beverages</t>
  </si>
  <si>
    <t>Retailing</t>
  </si>
  <si>
    <t>Capital Markets</t>
  </si>
  <si>
    <t>Leisure Services</t>
  </si>
  <si>
    <t>Cement &amp; Cement Products</t>
  </si>
  <si>
    <t>Transport Services</t>
  </si>
  <si>
    <t>Non - Ferrous Metals</t>
  </si>
  <si>
    <t>Agricultural Food &amp; other Products</t>
  </si>
  <si>
    <t>Aerospace &amp; Defense</t>
  </si>
  <si>
    <t>Auto Components</t>
  </si>
  <si>
    <t>Realty</t>
  </si>
  <si>
    <t>Ferrous Metals</t>
  </si>
  <si>
    <t>Chemicals &amp; Petrochemicals</t>
  </si>
  <si>
    <t>Electrical Equipment</t>
  </si>
  <si>
    <t>Industrial Products</t>
  </si>
  <si>
    <t>Metals &amp; Minerals Trading</t>
  </si>
  <si>
    <t>NSE BANK NIFTY 27/10/2026</t>
  </si>
  <si>
    <t>LTM Limited</t>
  </si>
  <si>
    <t>INE670K01029</t>
  </si>
  <si>
    <t>Lodha Developers Limited</t>
  </si>
  <si>
    <t>INE814H01029</t>
  </si>
  <si>
    <t>Adani Power Limited</t>
  </si>
  <si>
    <t>Real Est Inv Trust</t>
  </si>
  <si>
    <t>Infra Inv Trust</t>
  </si>
  <si>
    <t>Others</t>
  </si>
  <si>
    <t>TREPS</t>
  </si>
  <si>
    <t>The Clearing Corporation of India Ltd. 01-OCT-2026</t>
  </si>
  <si>
    <t>01-OCT-2026</t>
  </si>
  <si>
    <t>Reverse Repo Instrument</t>
  </si>
  <si>
    <t>Monthly  Portfolio Statement for the period ended 30.09.2026</t>
  </si>
  <si>
    <t>Reliance Industries Limited 27/10/2026</t>
  </si>
  <si>
    <t>For the period ended Sep 30, 2026, following are the hedging transactions through futures which have been squared off / expired :</t>
  </si>
  <si>
    <t>Total exposure due to futures (non hedging positions) was 3.05% of net assets as on 30/09/2026</t>
  </si>
  <si>
    <t>Long</t>
  </si>
  <si>
    <t>IDCW declared during the period (Gross)-Plan</t>
  </si>
  <si>
    <t>Fortis Healthcare Holdings Private Ltd</t>
  </si>
  <si>
    <t>INE277L07127</t>
  </si>
  <si>
    <t>INE277L07135</t>
  </si>
  <si>
    <t>For the period ended Sep 30, 2026, following are the non-hedging transactions through futures which have been squared off / expired :</t>
  </si>
  <si>
    <t>Total exposure due to futures ( hedging positions) was 0% of net assets as on 30/09/2026</t>
  </si>
  <si>
    <t>Total outstanding exposure in derivative instruments at the end of the period - Long/(Short) -(Rs in Lakhs) : 1083.62</t>
  </si>
  <si>
    <t>Portfolio Turnover  Ratio is 0.51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</si>
</sst>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_(* #,##0.0000_);_(* \(#,##0.0000\);_(* &quot;-&quot;??_);_(@_)"/>
    <numFmt numFmtId="172" formatCode="0.00;[Red]0.00"/>
    <numFmt numFmtId="173" formatCode="#,##0.0000"/>
    <numFmt numFmtId="174" formatCode="#,##0.0000%"/>
    <numFmt numFmtId="175" formatCode="0.00&quot;%&quot;"/>
  </numFmts>
  <fonts count="32" x14ac:knownFonts="1">
    <font>
      <sz val="10"/>
      <name val="Arial"/>
    </font>
    <font>
      <sz val="10"/>
      <name val="Times New Roman"/>
      <family val="1"/>
    </font>
    <font>
      <sz val="10"/>
      <name val="Arial"/>
      <family val="2"/>
    </font>
    <font>
      <sz val="8"/>
      <name val="Century Gothic"/>
      <family val="2"/>
    </font>
    <font>
      <sz val="11"/>
      <color indexed="8"/>
      <name val="Calibri"/>
      <family val="2"/>
    </font>
    <font>
      <b/>
      <sz val="8"/>
      <color indexed="8"/>
      <name val="Century Gothic"/>
      <family val="2"/>
    </font>
    <font>
      <b/>
      <sz val="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b/>
      <sz val="10"/>
      <name val="Times New Roman"/>
      <family val="1"/>
    </font>
    <font>
      <sz val="10"/>
      <name val="Century Gothic"/>
      <family val="2"/>
    </font>
    <font>
      <sz val="8"/>
      <color indexed="72"/>
      <name val="Century Gothic"/>
      <family val="2"/>
    </font>
    <font>
      <u/>
      <sz val="10"/>
      <color theme="10"/>
      <name val="Arial"/>
      <family val="2"/>
    </font>
    <font>
      <b/>
      <u/>
      <sz val="8"/>
      <color theme="10"/>
      <name val="Century Gothic"/>
      <family val="2"/>
    </font>
    <font>
      <sz val="8"/>
      <color theme="1"/>
      <name val="Century Gothic"/>
      <family val="2"/>
    </font>
    <font>
      <sz val="8"/>
      <name val="Times New Roman"/>
      <family val="1"/>
    </font>
    <font>
      <sz val="8"/>
      <color indexed="8"/>
      <name val="Tahoma"/>
      <family val="2"/>
    </font>
    <font>
      <b/>
      <sz val="8"/>
      <color indexed="72"/>
      <name val="Tahoma"/>
      <family val="2"/>
    </font>
    <font>
      <sz val="8"/>
      <color indexed="72"/>
      <name val="Tahoma"/>
      <family val="2"/>
    </font>
    <font>
      <b/>
      <sz val="8"/>
      <color indexed="8"/>
      <name val="Tahoma"/>
      <family val="2"/>
    </font>
    <font>
      <b/>
      <sz val="8"/>
      <name val="Tahoma"/>
      <family val="2"/>
    </font>
    <font>
      <sz val="8"/>
      <name val="Tahoma"/>
      <family val="2"/>
    </font>
    <font>
      <sz val="8"/>
      <color indexed="8"/>
      <name val="Calibri"/>
      <family val="2"/>
    </font>
    <font>
      <b/>
      <sz val="8"/>
      <name val="Times New Roman"/>
      <family val="1"/>
    </font>
    <font>
      <b/>
      <sz val="8"/>
      <color indexed="8"/>
      <name val="Calibri"/>
      <family val="2"/>
    </font>
    <font>
      <sz val="8"/>
      <name val="Arial"/>
      <family val="2"/>
    </font>
    <font>
      <sz val="8"/>
      <color theme="1"/>
      <name val="Tahoma"/>
      <family val="2"/>
    </font>
    <font>
      <u/>
      <sz val="8"/>
      <color theme="10"/>
      <name val="Arial"/>
      <family val="2"/>
    </font>
  </fonts>
  <fills count="7">
    <fill>
      <patternFill patternType="none"/>
    </fill>
    <fill>
      <patternFill patternType="gray125"/>
    </fill>
    <fill>
      <patternFill patternType="solid">
        <fgColor indexed="8"/>
        <bgColor indexed="64"/>
      </patternFill>
    </fill>
    <fill>
      <patternFill patternType="solid">
        <fgColor theme="1"/>
        <bgColor indexed="64"/>
      </patternFill>
    </fill>
    <fill>
      <patternFill patternType="solid">
        <fgColor indexed="22"/>
        <bgColor indexed="64"/>
      </patternFill>
    </fill>
    <fill>
      <patternFill patternType="solid">
        <fgColor theme="2" tint="-9.9978637043366805E-2"/>
        <bgColor indexed="64"/>
      </patternFill>
    </fill>
    <fill>
      <patternFill patternType="solid">
        <fgColor indexed="9"/>
        <bgColor indexed="58"/>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18"/>
      </left>
      <right style="thin">
        <color indexed="18"/>
      </right>
      <top/>
      <bottom style="thin">
        <color indexed="18"/>
      </bottom>
      <diagonal/>
    </border>
  </borders>
  <cellStyleXfs count="12">
    <xf numFmtId="0" fontId="0" fillId="0" borderId="0"/>
    <xf numFmtId="164" fontId="2" fillId="0" borderId="0" applyFont="0" applyFill="0" applyBorder="0" applyAlignment="0" applyProtection="0"/>
    <xf numFmtId="0" fontId="2" fillId="0" borderId="0"/>
    <xf numFmtId="0" fontId="4" fillId="0" borderId="0"/>
    <xf numFmtId="0" fontId="4" fillId="0" borderId="0"/>
    <xf numFmtId="0" fontId="4"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6" fillId="0" borderId="0" applyNumberFormat="0" applyFill="0" applyBorder="0" applyAlignment="0" applyProtection="0"/>
    <xf numFmtId="164" fontId="4" fillId="0" borderId="0" applyFont="0" applyFill="0" applyBorder="0" applyAlignment="0" applyProtection="0"/>
    <xf numFmtId="164" fontId="2" fillId="0" borderId="0" applyFont="0" applyFill="0" applyBorder="0" applyAlignment="0" applyProtection="0"/>
  </cellStyleXfs>
  <cellXfs count="150">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5" fillId="0" borderId="0" xfId="3" applyFont="1" applyAlignment="1">
      <alignment horizontal="center"/>
    </xf>
    <xf numFmtId="0" fontId="10" fillId="2" borderId="3" xfId="2" applyFont="1" applyFill="1" applyBorder="1" applyAlignment="1">
      <alignment horizontal="center" vertical="center"/>
    </xf>
    <xf numFmtId="0" fontId="13" fillId="0" borderId="0" xfId="0" applyFont="1"/>
    <xf numFmtId="0" fontId="3" fillId="0" borderId="0" xfId="6" applyFont="1" applyAlignment="1">
      <alignment vertical="top"/>
    </xf>
    <xf numFmtId="0" fontId="8" fillId="0" borderId="0" xfId="5" applyFont="1" applyAlignment="1">
      <alignment vertical="top"/>
    </xf>
    <xf numFmtId="0" fontId="3" fillId="0" borderId="0" xfId="2" applyFont="1" applyAlignment="1">
      <alignment vertical="top"/>
    </xf>
    <xf numFmtId="0" fontId="5" fillId="0" borderId="0" xfId="4" applyFont="1"/>
    <xf numFmtId="0" fontId="7" fillId="0" borderId="0" xfId="2" applyFont="1" applyAlignment="1">
      <alignment horizontal="left"/>
    </xf>
    <xf numFmtId="0" fontId="8" fillId="0" borderId="0" xfId="4" applyFont="1"/>
    <xf numFmtId="0" fontId="14" fillId="3" borderId="0" xfId="0" applyFont="1" applyFill="1"/>
    <xf numFmtId="170" fontId="3" fillId="0" borderId="1" xfId="2" applyNumberFormat="1" applyFont="1" applyBorder="1"/>
    <xf numFmtId="0" fontId="3" fillId="0" borderId="0" xfId="0" applyFont="1"/>
    <xf numFmtId="0" fontId="3" fillId="0" borderId="0" xfId="0" applyFont="1" applyAlignment="1">
      <alignment horizontal="right"/>
    </xf>
    <xf numFmtId="0" fontId="3" fillId="0" borderId="0" xfId="0" applyFont="1" applyAlignment="1">
      <alignment horizontal="left" wrapText="1"/>
    </xf>
    <xf numFmtId="0" fontId="6" fillId="0" borderId="0" xfId="0" applyFont="1"/>
    <xf numFmtId="0" fontId="14" fillId="0" borderId="0" xfId="0" applyFont="1"/>
    <xf numFmtId="0" fontId="6" fillId="0" borderId="1" xfId="0" applyFont="1" applyBorder="1" applyAlignment="1">
      <alignment horizontal="center" vertical="center" wrapText="1"/>
    </xf>
    <xf numFmtId="0" fontId="1" fillId="0" borderId="0" xfId="0" applyFont="1" applyAlignment="1">
      <alignment horizontal="center"/>
    </xf>
    <xf numFmtId="0" fontId="3" fillId="0" borderId="0" xfId="0" applyFont="1" applyAlignment="1">
      <alignment wrapText="1"/>
    </xf>
    <xf numFmtId="0" fontId="17" fillId="0" borderId="0" xfId="9" applyFont="1" applyAlignment="1"/>
    <xf numFmtId="4" fontId="3" fillId="0" borderId="0" xfId="0" applyNumberFormat="1" applyFont="1"/>
    <xf numFmtId="0" fontId="3" fillId="0" borderId="0" xfId="0" applyFont="1" applyAlignment="1">
      <alignment horizontal="left"/>
    </xf>
    <xf numFmtId="165" fontId="3" fillId="0" borderId="0" xfId="11" applyNumberFormat="1" applyFont="1" applyFill="1" applyBorder="1" applyAlignment="1">
      <alignment horizontal="right"/>
    </xf>
    <xf numFmtId="164" fontId="3" fillId="0" borderId="0" xfId="11" applyFont="1" applyFill="1" applyAlignment="1">
      <alignment horizontal="right"/>
    </xf>
    <xf numFmtId="0" fontId="6" fillId="0" borderId="0" xfId="0" applyFont="1" applyAlignment="1">
      <alignment horizontal="left"/>
    </xf>
    <xf numFmtId="165" fontId="6" fillId="0" borderId="0" xfId="11" applyNumberFormat="1" applyFont="1" applyFill="1" applyBorder="1" applyAlignment="1"/>
    <xf numFmtId="170" fontId="3" fillId="0" borderId="0" xfId="0" applyNumberFormat="1" applyFont="1" applyAlignment="1">
      <alignment horizontal="center"/>
    </xf>
    <xf numFmtId="0" fontId="8" fillId="0" borderId="0" xfId="0" applyFont="1" applyProtection="1">
      <protection locked="0"/>
    </xf>
    <xf numFmtId="4" fontId="3" fillId="0" borderId="0" xfId="11" applyNumberFormat="1" applyFont="1" applyFill="1" applyBorder="1" applyAlignment="1"/>
    <xf numFmtId="165" fontId="3" fillId="0" borderId="0" xfId="11" applyNumberFormat="1" applyFont="1" applyFill="1" applyBorder="1" applyAlignment="1"/>
    <xf numFmtId="164" fontId="3" fillId="0" borderId="0" xfId="11" applyFont="1" applyFill="1" applyBorder="1" applyAlignment="1">
      <alignment horizontal="right"/>
    </xf>
    <xf numFmtId="0" fontId="3" fillId="0" borderId="0" xfId="0" applyFont="1" applyAlignment="1">
      <alignment horizontal="center"/>
    </xf>
    <xf numFmtId="4" fontId="6" fillId="0" borderId="0" xfId="11" applyNumberFormat="1" applyFont="1" applyFill="1" applyBorder="1" applyAlignment="1">
      <alignment horizontal="center"/>
    </xf>
    <xf numFmtId="15" fontId="6" fillId="0" borderId="0" xfId="0" applyNumberFormat="1" applyFont="1" applyAlignment="1">
      <alignment horizontal="center"/>
    </xf>
    <xf numFmtId="171" fontId="6" fillId="0" borderId="0" xfId="11" applyNumberFormat="1" applyFont="1" applyFill="1" applyBorder="1" applyAlignment="1">
      <alignment horizontal="right"/>
    </xf>
    <xf numFmtId="170" fontId="3" fillId="0" borderId="0" xfId="0" applyNumberFormat="1" applyFont="1"/>
    <xf numFmtId="0" fontId="18" fillId="0" borderId="0" xfId="0" applyFont="1" applyAlignment="1">
      <alignment horizontal="left"/>
    </xf>
    <xf numFmtId="172" fontId="3" fillId="0" borderId="0" xfId="0" applyNumberFormat="1" applyFont="1" applyAlignment="1">
      <alignment horizontal="right"/>
    </xf>
    <xf numFmtId="165" fontId="3" fillId="0" borderId="0" xfId="11" applyNumberFormat="1" applyFont="1" applyFill="1" applyAlignment="1"/>
    <xf numFmtId="171" fontId="3" fillId="0" borderId="0" xfId="11" applyNumberFormat="1" applyFont="1" applyFill="1" applyAlignment="1">
      <alignment horizontal="right"/>
    </xf>
    <xf numFmtId="165" fontId="3" fillId="0" borderId="0" xfId="11" applyNumberFormat="1" applyFont="1" applyAlignment="1"/>
    <xf numFmtId="173" fontId="3" fillId="0" borderId="0" xfId="0" applyNumberFormat="1" applyFont="1"/>
    <xf numFmtId="4" fontId="3" fillId="0" borderId="0" xfId="11" applyNumberFormat="1" applyFont="1" applyAlignment="1"/>
    <xf numFmtId="0" fontId="9" fillId="0" borderId="0" xfId="5" applyFont="1" applyAlignment="1">
      <alignment vertical="top"/>
    </xf>
    <xf numFmtId="0" fontId="6" fillId="4" borderId="1" xfId="6" applyFont="1" applyFill="1" applyBorder="1" applyAlignment="1">
      <alignment horizontal="left" vertical="top"/>
    </xf>
    <xf numFmtId="0" fontId="6" fillId="5" borderId="1" xfId="2" applyFont="1" applyFill="1" applyBorder="1" applyAlignment="1">
      <alignment horizontal="left" vertical="top"/>
    </xf>
    <xf numFmtId="165" fontId="6" fillId="4" borderId="1" xfId="10" applyNumberFormat="1" applyFont="1" applyFill="1" applyBorder="1" applyAlignment="1">
      <alignment horizontal="left" vertical="top"/>
    </xf>
    <xf numFmtId="4" fontId="3" fillId="0" borderId="1" xfId="2" applyNumberFormat="1" applyFont="1" applyBorder="1"/>
    <xf numFmtId="4" fontId="3" fillId="0" borderId="1" xfId="1" applyNumberFormat="1" applyFont="1" applyFill="1" applyBorder="1" applyAlignment="1"/>
    <xf numFmtId="4" fontId="3" fillId="0" borderId="1" xfId="2" applyNumberFormat="1" applyFont="1" applyBorder="1" applyAlignment="1">
      <alignment horizontal="right"/>
    </xf>
    <xf numFmtId="0" fontId="6" fillId="0" borderId="0" xfId="0" applyFont="1" applyAlignment="1">
      <alignment wrapText="1"/>
    </xf>
    <xf numFmtId="0" fontId="15" fillId="0" borderId="0" xfId="0" applyFont="1" applyAlignment="1">
      <alignment horizontal="right" vertical="top"/>
    </xf>
    <xf numFmtId="49" fontId="5" fillId="6" borderId="1" xfId="8" applyNumberFormat="1" applyFont="1" applyFill="1" applyBorder="1" applyAlignment="1" applyProtection="1">
      <alignment horizontal="center" vertical="center" wrapText="1"/>
    </xf>
    <xf numFmtId="49" fontId="5" fillId="6" borderId="1" xfId="8" applyNumberFormat="1" applyFont="1" applyFill="1" applyBorder="1" applyAlignment="1" applyProtection="1">
      <alignment horizontal="left" vertical="center"/>
    </xf>
    <xf numFmtId="49" fontId="5" fillId="6" borderId="1" xfId="8" applyNumberFormat="1" applyFont="1" applyFill="1" applyBorder="1" applyAlignment="1" applyProtection="1">
      <alignment horizontal="left" vertical="center" wrapText="1"/>
    </xf>
    <xf numFmtId="3" fontId="5" fillId="6" borderId="1" xfId="8" applyNumberFormat="1" applyFont="1" applyFill="1" applyBorder="1" applyAlignment="1" applyProtection="1">
      <alignment horizontal="right" vertical="center" wrapText="1"/>
    </xf>
    <xf numFmtId="4" fontId="5" fillId="6" borderId="1" xfId="8" applyNumberFormat="1" applyFont="1" applyFill="1" applyBorder="1" applyAlignment="1" applyProtection="1">
      <alignment horizontal="right" vertical="center" wrapText="1"/>
    </xf>
    <xf numFmtId="0" fontId="19" fillId="0" borderId="0" xfId="0" applyFont="1" applyAlignment="1">
      <alignment horizontal="center"/>
    </xf>
    <xf numFmtId="0" fontId="20" fillId="0" borderId="1" xfId="0" applyFont="1" applyBorder="1"/>
    <xf numFmtId="0" fontId="21" fillId="0" borderId="1" xfId="0" applyFont="1" applyBorder="1" applyAlignment="1">
      <alignment horizontal="left" vertical="top"/>
    </xf>
    <xf numFmtId="4" fontId="20" fillId="0" borderId="1" xfId="0" applyNumberFormat="1" applyFont="1" applyBorder="1"/>
    <xf numFmtId="10" fontId="20" fillId="0" borderId="1" xfId="7" applyNumberFormat="1" applyFont="1" applyFill="1" applyBorder="1" applyAlignment="1"/>
    <xf numFmtId="10" fontId="20" fillId="0" borderId="1" xfId="7" applyNumberFormat="1" applyFont="1" applyFill="1" applyBorder="1" applyAlignment="1">
      <alignment horizontal="right"/>
    </xf>
    <xf numFmtId="0" fontId="22" fillId="0" borderId="1" xfId="0" applyFont="1" applyBorder="1" applyAlignment="1">
      <alignment horizontal="right" vertical="top"/>
    </xf>
    <xf numFmtId="0" fontId="19" fillId="0" borderId="0" xfId="0" applyFont="1"/>
    <xf numFmtId="4" fontId="23" fillId="0" borderId="1" xfId="0" applyNumberFormat="1" applyFont="1" applyBorder="1" applyAlignment="1">
      <alignment horizontal="right"/>
    </xf>
    <xf numFmtId="0" fontId="22" fillId="0" borderId="1" xfId="0" applyFont="1" applyBorder="1" applyAlignment="1">
      <alignment horizontal="left" vertical="top"/>
    </xf>
    <xf numFmtId="4" fontId="22" fillId="0" borderId="1" xfId="0" applyNumberFormat="1" applyFont="1" applyBorder="1" applyAlignment="1">
      <alignment horizontal="right" vertical="top"/>
    </xf>
    <xf numFmtId="166" fontId="22" fillId="0" borderId="1" xfId="0" applyNumberFormat="1" applyFont="1" applyBorder="1" applyAlignment="1">
      <alignment horizontal="right" vertical="top"/>
    </xf>
    <xf numFmtId="10" fontId="22" fillId="0" borderId="1" xfId="7" applyNumberFormat="1" applyFont="1" applyFill="1" applyBorder="1" applyAlignment="1" applyProtection="1">
      <alignment horizontal="right" vertical="top"/>
    </xf>
    <xf numFmtId="0" fontId="23" fillId="0" borderId="1" xfId="0" applyFont="1" applyBorder="1"/>
    <xf numFmtId="4" fontId="23" fillId="0" borderId="1" xfId="0" applyNumberFormat="1" applyFont="1" applyBorder="1"/>
    <xf numFmtId="4" fontId="24" fillId="0" borderId="1" xfId="0" applyNumberFormat="1" applyFont="1" applyBorder="1" applyAlignment="1">
      <alignment horizontal="right" vertical="top"/>
    </xf>
    <xf numFmtId="166" fontId="24" fillId="0" borderId="1" xfId="0" applyNumberFormat="1" applyFont="1" applyBorder="1" applyAlignment="1">
      <alignment horizontal="right" vertical="top"/>
    </xf>
    <xf numFmtId="10" fontId="25" fillId="0" borderId="1" xfId="7" applyNumberFormat="1" applyFont="1" applyFill="1" applyBorder="1" applyAlignment="1" applyProtection="1">
      <alignment horizontal="right" vertical="top"/>
    </xf>
    <xf numFmtId="10" fontId="24" fillId="0" borderId="1" xfId="7" applyNumberFormat="1" applyFont="1" applyFill="1" applyBorder="1" applyAlignment="1" applyProtection="1">
      <alignment horizontal="right" vertical="top"/>
    </xf>
    <xf numFmtId="0" fontId="23" fillId="0" borderId="0" xfId="0" applyFont="1"/>
    <xf numFmtId="174" fontId="24" fillId="0" borderId="1" xfId="0" applyNumberFormat="1" applyFont="1" applyBorder="1" applyAlignment="1">
      <alignment horizontal="right" vertical="top"/>
    </xf>
    <xf numFmtId="167" fontId="20" fillId="0" borderId="1" xfId="0" applyNumberFormat="1" applyFont="1" applyBorder="1"/>
    <xf numFmtId="0" fontId="20" fillId="0" borderId="1" xfId="0" applyFont="1" applyBorder="1" applyAlignment="1">
      <alignment horizontal="right"/>
    </xf>
    <xf numFmtId="4" fontId="22" fillId="0" borderId="1" xfId="0" applyNumberFormat="1" applyFont="1" applyBorder="1" applyAlignment="1">
      <alignment horizontal="left" vertical="top"/>
    </xf>
    <xf numFmtId="167" fontId="24" fillId="0" borderId="1" xfId="0" applyNumberFormat="1" applyFont="1" applyBorder="1" applyAlignment="1">
      <alignment horizontal="right" vertical="top"/>
    </xf>
    <xf numFmtId="4" fontId="21" fillId="0" borderId="1" xfId="0" applyNumberFormat="1" applyFont="1" applyBorder="1" applyAlignment="1">
      <alignment horizontal="right" vertical="top"/>
    </xf>
    <xf numFmtId="166" fontId="25" fillId="0" borderId="1" xfId="0" applyNumberFormat="1" applyFont="1" applyBorder="1" applyAlignment="1">
      <alignment horizontal="right" vertical="top"/>
    </xf>
    <xf numFmtId="0" fontId="22" fillId="0" borderId="1" xfId="0" applyFont="1" applyBorder="1" applyAlignment="1">
      <alignment horizontal="left" vertical="top" wrapText="1"/>
    </xf>
    <xf numFmtId="0" fontId="22" fillId="0" borderId="1" xfId="0" applyFont="1" applyBorder="1" applyAlignment="1">
      <alignment horizontal="right" vertical="top" wrapText="1"/>
    </xf>
    <xf numFmtId="166" fontId="22" fillId="0" borderId="1" xfId="0" applyNumberFormat="1" applyFont="1" applyBorder="1" applyAlignment="1">
      <alignment horizontal="right" vertical="top" wrapText="1"/>
    </xf>
    <xf numFmtId="166" fontId="25" fillId="0" borderId="1" xfId="0" applyNumberFormat="1" applyFont="1" applyBorder="1" applyAlignment="1">
      <alignment horizontal="right"/>
    </xf>
    <xf numFmtId="166" fontId="24" fillId="0" borderId="1" xfId="0" applyNumberFormat="1" applyFont="1" applyBorder="1" applyAlignment="1">
      <alignment horizontal="right"/>
    </xf>
    <xf numFmtId="0" fontId="24" fillId="0" borderId="1" xfId="0" applyFont="1" applyBorder="1" applyAlignment="1">
      <alignment horizontal="left" vertical="top" wrapText="1"/>
    </xf>
    <xf numFmtId="175" fontId="24" fillId="0" borderId="1" xfId="0" applyNumberFormat="1" applyFont="1" applyBorder="1" applyAlignment="1">
      <alignment horizontal="right" vertical="top"/>
    </xf>
    <xf numFmtId="168" fontId="22" fillId="0" borderId="1" xfId="0" applyNumberFormat="1" applyFont="1" applyBorder="1" applyAlignment="1">
      <alignment horizontal="right" vertical="top" wrapText="1"/>
    </xf>
    <xf numFmtId="167" fontId="22" fillId="0" borderId="1" xfId="0" applyNumberFormat="1" applyFont="1" applyBorder="1" applyAlignment="1">
      <alignment horizontal="right" vertical="top" wrapText="1"/>
    </xf>
    <xf numFmtId="4" fontId="23" fillId="0" borderId="1" xfId="0" applyNumberFormat="1" applyFont="1" applyBorder="1" applyAlignment="1">
      <alignment horizontal="right" vertical="top"/>
    </xf>
    <xf numFmtId="0" fontId="26" fillId="0" borderId="1" xfId="0" applyFont="1" applyBorder="1"/>
    <xf numFmtId="4" fontId="26" fillId="0" borderId="1" xfId="0" applyNumberFormat="1" applyFont="1" applyBorder="1"/>
    <xf numFmtId="10" fontId="26" fillId="0" borderId="1" xfId="7" applyNumberFormat="1" applyFont="1" applyFill="1" applyBorder="1" applyAlignment="1">
      <alignment horizontal="right"/>
    </xf>
    <xf numFmtId="10" fontId="26" fillId="0" borderId="1" xfId="7" applyNumberFormat="1" applyFont="1" applyFill="1" applyBorder="1" applyAlignment="1"/>
    <xf numFmtId="4" fontId="25" fillId="0" borderId="1" xfId="0" applyNumberFormat="1" applyFont="1" applyBorder="1" applyAlignment="1">
      <alignment horizontal="right" vertical="top"/>
    </xf>
    <xf numFmtId="10" fontId="22" fillId="0" borderId="1" xfId="0" applyNumberFormat="1" applyFont="1" applyBorder="1" applyAlignment="1">
      <alignment horizontal="right" vertical="top"/>
    </xf>
    <xf numFmtId="0" fontId="27" fillId="0" borderId="0" xfId="0" applyFont="1"/>
    <xf numFmtId="0" fontId="24" fillId="0" borderId="1" xfId="0" applyFont="1" applyBorder="1" applyAlignment="1">
      <alignment wrapText="1"/>
    </xf>
    <xf numFmtId="166" fontId="28" fillId="0" borderId="0" xfId="0" applyNumberFormat="1" applyFont="1"/>
    <xf numFmtId="169" fontId="25" fillId="0" borderId="1" xfId="0" applyNumberFormat="1" applyFont="1" applyBorder="1" applyAlignment="1">
      <alignment horizontal="right" vertical="top"/>
    </xf>
    <xf numFmtId="169" fontId="24" fillId="0" borderId="1" xfId="0" applyNumberFormat="1" applyFont="1" applyBorder="1" applyAlignment="1">
      <alignment horizontal="right" vertical="top"/>
    </xf>
    <xf numFmtId="0" fontId="29" fillId="0" borderId="1" xfId="0" applyFont="1" applyBorder="1"/>
    <xf numFmtId="0" fontId="29" fillId="0" borderId="1" xfId="0" applyFont="1" applyBorder="1" applyAlignment="1">
      <alignment horizontal="right"/>
    </xf>
    <xf numFmtId="4" fontId="23" fillId="0" borderId="0" xfId="0" applyNumberFormat="1" applyFont="1"/>
    <xf numFmtId="10" fontId="23" fillId="0" borderId="0" xfId="7" applyNumberFormat="1" applyFont="1" applyFill="1" applyBorder="1" applyAlignment="1"/>
    <xf numFmtId="0" fontId="30" fillId="0" borderId="6" xfId="0" applyFont="1" applyBorder="1" applyAlignment="1">
      <alignment horizontal="left"/>
    </xf>
    <xf numFmtId="0" fontId="31" fillId="0" borderId="0" xfId="9" applyFont="1" applyAlignment="1"/>
    <xf numFmtId="0" fontId="19" fillId="0" borderId="0" xfId="0" applyFont="1" applyAlignment="1">
      <alignment wrapText="1"/>
    </xf>
    <xf numFmtId="0" fontId="19" fillId="0" borderId="0" xfId="0" applyFont="1" applyAlignment="1">
      <alignment horizontal="left" wrapText="1"/>
    </xf>
    <xf numFmtId="165" fontId="19" fillId="0" borderId="0" xfId="1" applyNumberFormat="1" applyFont="1"/>
    <xf numFmtId="0" fontId="6" fillId="0" borderId="0" xfId="2" applyFont="1" applyAlignment="1">
      <alignment wrapText="1"/>
    </xf>
    <xf numFmtId="0" fontId="6" fillId="0" borderId="0" xfId="0" applyFont="1" applyAlignment="1">
      <alignment wrapText="1"/>
    </xf>
    <xf numFmtId="0" fontId="6" fillId="0" borderId="0" xfId="0" applyFont="1" applyAlignment="1">
      <alignment horizontal="left"/>
    </xf>
    <xf numFmtId="0" fontId="6" fillId="0" borderId="0" xfId="0" applyFont="1"/>
    <xf numFmtId="0" fontId="6" fillId="0" borderId="0" xfId="2" applyFont="1" applyAlignment="1">
      <alignment horizontal="center"/>
    </xf>
    <xf numFmtId="0" fontId="6" fillId="0" borderId="0" xfId="2" applyFont="1" applyAlignment="1">
      <alignment horizontal="center" wrapText="1"/>
    </xf>
    <xf numFmtId="0" fontId="9" fillId="0" borderId="0" xfId="5" applyFont="1" applyAlignment="1">
      <alignment vertical="top" wrapText="1"/>
    </xf>
    <xf numFmtId="0" fontId="3" fillId="0" borderId="0" xfId="0" applyFont="1"/>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3" fillId="0" borderId="0" xfId="6" applyFont="1" applyFill="1"/>
    <xf numFmtId="0" fontId="3" fillId="0" borderId="0" xfId="0" applyFont="1" applyFill="1"/>
    <xf numFmtId="0" fontId="6" fillId="0" borderId="3" xfId="2" applyFont="1" applyFill="1" applyBorder="1" applyAlignment="1">
      <alignment horizontal="left"/>
    </xf>
    <xf numFmtId="0" fontId="6" fillId="0" borderId="3" xfId="2" applyFont="1" applyFill="1" applyBorder="1" applyAlignment="1">
      <alignment horizontal="left"/>
    </xf>
    <xf numFmtId="164" fontId="3" fillId="0" borderId="0" xfId="2" applyNumberFormat="1" applyFont="1" applyFill="1"/>
    <xf numFmtId="0" fontId="6" fillId="0" borderId="3" xfId="2" applyFont="1" applyFill="1" applyBorder="1"/>
    <xf numFmtId="0" fontId="6" fillId="0" borderId="0" xfId="2" applyFont="1" applyFill="1"/>
    <xf numFmtId="4" fontId="3" fillId="0" borderId="0" xfId="2" applyNumberFormat="1" applyFont="1" applyFill="1"/>
    <xf numFmtId="0" fontId="6" fillId="0" borderId="1" xfId="2" applyFont="1" applyFill="1" applyBorder="1"/>
    <xf numFmtId="0" fontId="3" fillId="0" borderId="4" xfId="2" applyFont="1" applyFill="1" applyBorder="1" applyAlignment="1">
      <alignment horizontal="left"/>
    </xf>
    <xf numFmtId="0" fontId="3" fillId="0" borderId="2" xfId="2" applyFont="1" applyFill="1" applyBorder="1" applyAlignment="1">
      <alignment horizontal="left"/>
    </xf>
    <xf numFmtId="0" fontId="3" fillId="0" borderId="5" xfId="2" applyFont="1" applyFill="1" applyBorder="1" applyAlignment="1">
      <alignment horizontal="left"/>
    </xf>
    <xf numFmtId="4" fontId="3" fillId="0" borderId="1" xfId="1" applyNumberFormat="1" applyFont="1" applyFill="1" applyBorder="1"/>
    <xf numFmtId="0" fontId="3" fillId="0" borderId="0" xfId="2" applyFont="1" applyFill="1"/>
    <xf numFmtId="0" fontId="6" fillId="0" borderId="5" xfId="2" applyFont="1" applyFill="1" applyBorder="1"/>
    <xf numFmtId="0" fontId="3" fillId="0" borderId="1" xfId="2" applyFont="1" applyFill="1" applyBorder="1"/>
    <xf numFmtId="164" fontId="3" fillId="0" borderId="1" xfId="1" applyFont="1" applyFill="1" applyBorder="1"/>
  </cellXfs>
  <cellStyles count="12">
    <cellStyle name="Comma" xfId="1" builtinId="3"/>
    <cellStyle name="Comma 2" xfId="10" xr:uid="{00000000-0005-0000-0000-000001000000}"/>
    <cellStyle name="Comma 4" xfId="11" xr:uid="{92C6B9F3-404D-4E87-B14C-A6AA402CB1C1}"/>
    <cellStyle name="Hyperlink" xfId="9" builtinId="8"/>
    <cellStyle name="Normal" xfId="0" builtinId="0"/>
    <cellStyle name="Normal 2 2 2" xfId="2" xr:uid="{00000000-0005-0000-0000-000004000000}"/>
    <cellStyle name="Normal 2 3 2" xfId="6" xr:uid="{00000000-0005-0000-0000-000005000000}"/>
    <cellStyle name="Normal 3" xfId="8" xr:uid="{00000000-0005-0000-0000-000006000000}"/>
    <cellStyle name="Normal 4_EF" xfId="4" xr:uid="{00000000-0005-0000-0000-000007000000}"/>
    <cellStyle name="Normal 4_IF" xfId="3" xr:uid="{00000000-0005-0000-0000-000008000000}"/>
    <cellStyle name="Normal 4_LD" xfId="5" xr:uid="{00000000-0005-0000-0000-000009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447675</xdr:colOff>
      <xdr:row>179</xdr:row>
      <xdr:rowOff>76200</xdr:rowOff>
    </xdr:from>
    <xdr:ext cx="2651125" cy="1466850"/>
    <xdr:pic>
      <xdr:nvPicPr>
        <xdr:cNvPr id="4" name="Picture 5">
          <a:extLst>
            <a:ext uri="{FF2B5EF4-FFF2-40B4-BE49-F238E27FC236}">
              <a16:creationId xmlns:a16="http://schemas.microsoft.com/office/drawing/2014/main" id="{F50905F9-6BF7-40ED-AB10-6D4DDCA550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7675" y="28317825"/>
          <a:ext cx="26511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1600200</xdr:colOff>
      <xdr:row>179</xdr:row>
      <xdr:rowOff>85725</xdr:rowOff>
    </xdr:from>
    <xdr:ext cx="2686050" cy="1466850"/>
    <xdr:pic>
      <xdr:nvPicPr>
        <xdr:cNvPr id="5" name="Picture 6">
          <a:extLst>
            <a:ext uri="{FF2B5EF4-FFF2-40B4-BE49-F238E27FC236}">
              <a16:creationId xmlns:a16="http://schemas.microsoft.com/office/drawing/2014/main" id="{3C18CBB6-DC77-4DD2-B670-34D72DE175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00950" y="33289875"/>
          <a:ext cx="26860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Large-Cap-Fund/J442/Direct-Plan-Growth-Option" TargetMode="External"/><Relationship Id="rId1" Type="http://schemas.openxmlformats.org/officeDocument/2006/relationships/hyperlink" Target="https://www.jmfinancialmf.com/products/Equity/JM-Large-Cap-Fund/J0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M199"/>
  <sheetViews>
    <sheetView tabSelected="1" zoomScaleNormal="100" workbookViewId="0">
      <selection activeCell="B1" sqref="B1:I1"/>
    </sheetView>
  </sheetViews>
  <sheetFormatPr defaultColWidth="9.140625" defaultRowHeight="14.25" x14ac:dyDescent="0.3"/>
  <cols>
    <col min="1" max="1" width="37.85546875" style="1" customWidth="1"/>
    <col min="2" max="2" width="52.140625" style="4" customWidth="1"/>
    <col min="3" max="3" width="31.7109375" style="3" customWidth="1"/>
    <col min="4" max="4" width="28" style="2" customWidth="1"/>
    <col min="5" max="5" width="15.28515625" style="1" customWidth="1"/>
    <col min="6" max="6" width="22.85546875" style="1" bestFit="1" customWidth="1"/>
    <col min="7" max="7" width="16.28515625" style="1" customWidth="1"/>
    <col min="8" max="8" width="9.5703125" style="1" bestFit="1" customWidth="1"/>
    <col min="9" max="9" width="12.28515625" style="1" customWidth="1"/>
    <col min="10" max="10" width="12.28515625" style="6" customWidth="1"/>
    <col min="11" max="16384" width="9.140625" style="1"/>
  </cols>
  <sheetData>
    <row r="1" spans="1:13" ht="13.5" x14ac:dyDescent="0.25">
      <c r="A1" s="10"/>
      <c r="B1" s="131" t="s">
        <v>11</v>
      </c>
      <c r="C1" s="131"/>
      <c r="D1" s="131"/>
      <c r="E1" s="131"/>
      <c r="F1" s="131"/>
      <c r="G1" s="131"/>
      <c r="H1" s="131"/>
      <c r="I1" s="131"/>
      <c r="J1" s="18"/>
      <c r="K1" s="24"/>
    </row>
    <row r="2" spans="1:13" ht="13.5" x14ac:dyDescent="0.25">
      <c r="A2" s="10"/>
      <c r="B2" s="131" t="s">
        <v>10</v>
      </c>
      <c r="C2" s="131"/>
      <c r="D2" s="131"/>
      <c r="E2" s="131"/>
      <c r="F2" s="131"/>
      <c r="G2" s="131"/>
      <c r="H2" s="131"/>
      <c r="I2" s="131"/>
      <c r="J2" s="18"/>
      <c r="K2" s="24"/>
    </row>
    <row r="3" spans="1:13" ht="12.75" customHeight="1" x14ac:dyDescent="0.25">
      <c r="A3" s="10"/>
      <c r="B3" s="132" t="s">
        <v>220</v>
      </c>
      <c r="C3" s="132"/>
      <c r="D3" s="132"/>
      <c r="E3" s="132"/>
      <c r="F3" s="132"/>
      <c r="G3" s="132"/>
      <c r="H3" s="132"/>
      <c r="I3" s="132"/>
      <c r="J3" s="18"/>
      <c r="K3" s="24"/>
    </row>
    <row r="4" spans="1:13" s="26" customFormat="1" ht="25.5" x14ac:dyDescent="0.2">
      <c r="A4" s="61" t="s">
        <v>57</v>
      </c>
      <c r="B4" s="62" t="s">
        <v>36</v>
      </c>
      <c r="C4" s="63" t="s">
        <v>37</v>
      </c>
      <c r="D4" s="61" t="s">
        <v>9</v>
      </c>
      <c r="E4" s="64" t="s">
        <v>38</v>
      </c>
      <c r="F4" s="65" t="s">
        <v>39</v>
      </c>
      <c r="G4" s="65" t="s">
        <v>40</v>
      </c>
      <c r="H4" s="65" t="s">
        <v>41</v>
      </c>
      <c r="I4" s="61" t="s">
        <v>42</v>
      </c>
      <c r="J4" s="25" t="s">
        <v>101</v>
      </c>
      <c r="K4" s="66"/>
      <c r="L4" s="66"/>
      <c r="M4" s="66"/>
    </row>
    <row r="5" spans="1:13" x14ac:dyDescent="0.3">
      <c r="A5" s="67"/>
      <c r="B5" s="68" t="s">
        <v>43</v>
      </c>
      <c r="C5" s="67"/>
      <c r="D5" s="69"/>
      <c r="E5" s="69"/>
      <c r="F5" s="70"/>
      <c r="G5" s="71"/>
      <c r="H5" s="70"/>
      <c r="I5" s="72"/>
      <c r="J5" s="19"/>
      <c r="K5" s="73"/>
      <c r="L5" s="73"/>
      <c r="M5" s="73"/>
    </row>
    <row r="6" spans="1:13" x14ac:dyDescent="0.3">
      <c r="A6" s="67"/>
      <c r="B6" s="68" t="s">
        <v>44</v>
      </c>
      <c r="C6" s="67"/>
      <c r="D6" s="69"/>
      <c r="E6" s="74"/>
      <c r="F6" s="74"/>
      <c r="G6" s="71"/>
      <c r="H6" s="70"/>
      <c r="I6" s="72"/>
      <c r="J6" s="19"/>
      <c r="K6" s="73"/>
      <c r="L6" s="73"/>
      <c r="M6" s="73"/>
    </row>
    <row r="7" spans="1:13" x14ac:dyDescent="0.3">
      <c r="A7" s="75" t="s">
        <v>60</v>
      </c>
      <c r="B7" s="75" t="s">
        <v>20</v>
      </c>
      <c r="C7" s="75" t="s">
        <v>181</v>
      </c>
      <c r="D7" s="76">
        <v>169097</v>
      </c>
      <c r="E7" s="76">
        <v>1622.485715</v>
      </c>
      <c r="F7" s="77">
        <v>4.5631252547932641E-2</v>
      </c>
      <c r="G7" s="78"/>
      <c r="H7" s="78"/>
      <c r="I7" s="72"/>
      <c r="J7" s="19"/>
      <c r="K7" s="73"/>
      <c r="L7" s="73"/>
      <c r="M7" s="73"/>
    </row>
    <row r="8" spans="1:13" x14ac:dyDescent="0.3">
      <c r="A8" s="75" t="s">
        <v>64</v>
      </c>
      <c r="B8" s="75" t="s">
        <v>23</v>
      </c>
      <c r="C8" s="75" t="s">
        <v>182</v>
      </c>
      <c r="D8" s="76">
        <v>78550</v>
      </c>
      <c r="E8" s="76">
        <v>1380.1234999999999</v>
      </c>
      <c r="F8" s="77">
        <v>3.8814988257592588E-2</v>
      </c>
      <c r="G8" s="78"/>
      <c r="H8" s="78"/>
      <c r="I8" s="72"/>
      <c r="J8" s="19"/>
      <c r="K8" s="73"/>
      <c r="L8" s="73"/>
      <c r="M8" s="73"/>
    </row>
    <row r="9" spans="1:13" x14ac:dyDescent="0.3">
      <c r="A9" s="75" t="s">
        <v>59</v>
      </c>
      <c r="B9" s="75" t="s">
        <v>19</v>
      </c>
      <c r="C9" s="75" t="s">
        <v>181</v>
      </c>
      <c r="D9" s="76">
        <v>95787</v>
      </c>
      <c r="E9" s="76">
        <v>1266.016779</v>
      </c>
      <c r="F9" s="77">
        <v>3.5605818182793202E-2</v>
      </c>
      <c r="G9" s="78"/>
      <c r="H9" s="78"/>
      <c r="I9" s="72"/>
      <c r="J9" s="19"/>
      <c r="K9" s="73"/>
      <c r="L9" s="73"/>
      <c r="M9" s="73"/>
    </row>
    <row r="10" spans="1:13" x14ac:dyDescent="0.3">
      <c r="A10" s="75" t="s">
        <v>63</v>
      </c>
      <c r="B10" s="75" t="s">
        <v>18</v>
      </c>
      <c r="C10" s="75" t="s">
        <v>183</v>
      </c>
      <c r="D10" s="76">
        <v>100700</v>
      </c>
      <c r="E10" s="76">
        <v>1195.309</v>
      </c>
      <c r="F10" s="77">
        <v>3.3617212372077383E-2</v>
      </c>
      <c r="G10" s="78"/>
      <c r="H10" s="78"/>
      <c r="I10" s="72"/>
      <c r="J10" s="19"/>
      <c r="K10" s="73"/>
      <c r="L10" s="73"/>
      <c r="M10" s="73"/>
    </row>
    <row r="11" spans="1:13" x14ac:dyDescent="0.3">
      <c r="A11" s="75" t="s">
        <v>111</v>
      </c>
      <c r="B11" s="75" t="s">
        <v>30</v>
      </c>
      <c r="C11" s="75" t="s">
        <v>181</v>
      </c>
      <c r="D11" s="76">
        <v>268700</v>
      </c>
      <c r="E11" s="76">
        <v>1120.479</v>
      </c>
      <c r="F11" s="77">
        <v>3.1512672038320547E-2</v>
      </c>
      <c r="G11" s="78"/>
      <c r="H11" s="78"/>
      <c r="I11" s="72"/>
      <c r="J11" s="19"/>
      <c r="K11" s="73"/>
      <c r="L11" s="73"/>
      <c r="M11" s="73"/>
    </row>
    <row r="12" spans="1:13" x14ac:dyDescent="0.3">
      <c r="A12" s="75" t="s">
        <v>61</v>
      </c>
      <c r="B12" s="75" t="s">
        <v>24</v>
      </c>
      <c r="C12" s="75" t="s">
        <v>175</v>
      </c>
      <c r="D12" s="76">
        <v>27400</v>
      </c>
      <c r="E12" s="76">
        <v>1030.24</v>
      </c>
      <c r="F12" s="77">
        <v>2.8974764579041072E-2</v>
      </c>
      <c r="G12" s="78"/>
      <c r="H12" s="78"/>
      <c r="I12" s="72"/>
      <c r="J12" s="19"/>
      <c r="K12" s="73"/>
      <c r="L12" s="73"/>
      <c r="M12" s="73"/>
    </row>
    <row r="13" spans="1:13" x14ac:dyDescent="0.3">
      <c r="A13" s="75" t="s">
        <v>82</v>
      </c>
      <c r="B13" s="75" t="s">
        <v>83</v>
      </c>
      <c r="C13" s="75" t="s">
        <v>189</v>
      </c>
      <c r="D13" s="76">
        <v>57000</v>
      </c>
      <c r="E13" s="76">
        <v>1025.0309999999999</v>
      </c>
      <c r="F13" s="77">
        <v>2.8828265172405505E-2</v>
      </c>
      <c r="G13" s="78"/>
      <c r="H13" s="78"/>
      <c r="I13" s="72"/>
      <c r="J13" s="19"/>
      <c r="K13" s="73"/>
      <c r="L13" s="73"/>
      <c r="M13" s="73"/>
    </row>
    <row r="14" spans="1:13" x14ac:dyDescent="0.3">
      <c r="A14" s="75" t="s">
        <v>65</v>
      </c>
      <c r="B14" s="75" t="s">
        <v>26</v>
      </c>
      <c r="C14" s="75" t="s">
        <v>181</v>
      </c>
      <c r="D14" s="76">
        <v>83423</v>
      </c>
      <c r="E14" s="76">
        <v>1022.76598</v>
      </c>
      <c r="F14" s="77">
        <v>2.8764563101755153E-2</v>
      </c>
      <c r="G14" s="78"/>
      <c r="H14" s="78"/>
      <c r="I14" s="72"/>
      <c r="J14" s="19"/>
      <c r="K14" s="73"/>
      <c r="L14" s="73"/>
      <c r="M14" s="73"/>
    </row>
    <row r="15" spans="1:13" x14ac:dyDescent="0.3">
      <c r="A15" s="75" t="s">
        <v>78</v>
      </c>
      <c r="B15" s="75" t="s">
        <v>35</v>
      </c>
      <c r="C15" s="75" t="s">
        <v>184</v>
      </c>
      <c r="D15" s="76">
        <v>20773</v>
      </c>
      <c r="E15" s="76">
        <v>997.10400000000004</v>
      </c>
      <c r="F15" s="77">
        <v>2.8042838232664395E-2</v>
      </c>
      <c r="G15" s="78"/>
      <c r="H15" s="78"/>
      <c r="I15" s="72"/>
      <c r="J15" s="19"/>
      <c r="K15" s="73"/>
      <c r="L15" s="73"/>
      <c r="M15" s="73"/>
    </row>
    <row r="16" spans="1:13" x14ac:dyDescent="0.3">
      <c r="A16" s="75" t="s">
        <v>86</v>
      </c>
      <c r="B16" s="75" t="s">
        <v>21</v>
      </c>
      <c r="C16" s="75" t="s">
        <v>185</v>
      </c>
      <c r="D16" s="76">
        <v>103399</v>
      </c>
      <c r="E16" s="76">
        <v>992.01000599999998</v>
      </c>
      <c r="F16" s="77">
        <v>2.7899573287683568E-2</v>
      </c>
      <c r="G16" s="78"/>
      <c r="H16" s="78"/>
      <c r="I16" s="72"/>
      <c r="J16" s="19"/>
      <c r="K16" s="73"/>
      <c r="L16" s="73"/>
      <c r="M16" s="73"/>
    </row>
    <row r="17" spans="1:13" x14ac:dyDescent="0.3">
      <c r="A17" s="75" t="s">
        <v>73</v>
      </c>
      <c r="B17" s="75" t="s">
        <v>33</v>
      </c>
      <c r="C17" s="75" t="s">
        <v>176</v>
      </c>
      <c r="D17" s="76">
        <v>11775</v>
      </c>
      <c r="E17" s="76">
        <v>961.48762499999998</v>
      </c>
      <c r="F17" s="77">
        <v>2.704115310999022E-2</v>
      </c>
      <c r="G17" s="78"/>
      <c r="H17" s="78"/>
      <c r="I17" s="72"/>
      <c r="J17" s="19"/>
      <c r="K17" s="73"/>
      <c r="L17" s="73"/>
      <c r="M17" s="73"/>
    </row>
    <row r="18" spans="1:13" x14ac:dyDescent="0.3">
      <c r="A18" s="75" t="s">
        <v>58</v>
      </c>
      <c r="B18" s="75" t="s">
        <v>17</v>
      </c>
      <c r="C18" s="75" t="s">
        <v>181</v>
      </c>
      <c r="D18" s="76">
        <v>135194</v>
      </c>
      <c r="E18" s="76">
        <v>958.11987799999997</v>
      </c>
      <c r="F18" s="77">
        <v>2.6946437629629554E-2</v>
      </c>
      <c r="G18" s="78"/>
      <c r="H18" s="78"/>
      <c r="I18" s="72"/>
      <c r="J18" s="19"/>
      <c r="K18" s="73"/>
      <c r="L18" s="73"/>
      <c r="M18" s="73"/>
    </row>
    <row r="19" spans="1:13" x14ac:dyDescent="0.3">
      <c r="A19" s="75" t="s">
        <v>87</v>
      </c>
      <c r="B19" s="75" t="s">
        <v>88</v>
      </c>
      <c r="C19" s="75" t="s">
        <v>187</v>
      </c>
      <c r="D19" s="76">
        <v>56986</v>
      </c>
      <c r="E19" s="76">
        <v>956.22508000000005</v>
      </c>
      <c r="F19" s="77">
        <v>2.6893147788451928E-2</v>
      </c>
      <c r="G19" s="78"/>
      <c r="H19" s="78"/>
      <c r="I19" s="72"/>
      <c r="J19" s="19"/>
      <c r="K19" s="73"/>
      <c r="L19" s="73"/>
      <c r="M19" s="73"/>
    </row>
    <row r="20" spans="1:13" x14ac:dyDescent="0.3">
      <c r="A20" s="75" t="s">
        <v>97</v>
      </c>
      <c r="B20" s="75" t="s">
        <v>98</v>
      </c>
      <c r="C20" s="75" t="s">
        <v>186</v>
      </c>
      <c r="D20" s="76">
        <v>19400</v>
      </c>
      <c r="E20" s="76">
        <v>889.87800000000004</v>
      </c>
      <c r="F20" s="77">
        <v>2.502718352429328E-2</v>
      </c>
      <c r="G20" s="78"/>
      <c r="H20" s="78"/>
      <c r="I20" s="72"/>
      <c r="J20" s="19"/>
      <c r="K20" s="73"/>
      <c r="L20" s="73"/>
      <c r="M20" s="73"/>
    </row>
    <row r="21" spans="1:13" x14ac:dyDescent="0.3">
      <c r="A21" s="75" t="s">
        <v>71</v>
      </c>
      <c r="B21" s="75" t="s">
        <v>31</v>
      </c>
      <c r="C21" s="75" t="s">
        <v>188</v>
      </c>
      <c r="D21" s="76">
        <v>29800</v>
      </c>
      <c r="E21" s="76">
        <v>879.1</v>
      </c>
      <c r="F21" s="77">
        <v>2.4724059968002605E-2</v>
      </c>
      <c r="G21" s="78"/>
      <c r="H21" s="78"/>
      <c r="I21" s="72"/>
      <c r="J21" s="19"/>
      <c r="K21" s="73"/>
      <c r="L21" s="73"/>
      <c r="M21" s="73"/>
    </row>
    <row r="22" spans="1:13" x14ac:dyDescent="0.3">
      <c r="A22" s="75" t="s">
        <v>72</v>
      </c>
      <c r="B22" s="75" t="s">
        <v>46</v>
      </c>
      <c r="C22" s="75" t="s">
        <v>185</v>
      </c>
      <c r="D22" s="76">
        <v>88200</v>
      </c>
      <c r="E22" s="76">
        <v>866.7414</v>
      </c>
      <c r="F22" s="77">
        <v>2.4376483164998901E-2</v>
      </c>
      <c r="G22" s="78"/>
      <c r="H22" s="78"/>
      <c r="I22" s="72"/>
      <c r="J22" s="19"/>
      <c r="K22" s="73"/>
      <c r="L22" s="73"/>
      <c r="M22" s="73"/>
    </row>
    <row r="23" spans="1:13" x14ac:dyDescent="0.3">
      <c r="A23" s="75" t="s">
        <v>79</v>
      </c>
      <c r="B23" s="75" t="s">
        <v>48</v>
      </c>
      <c r="C23" s="75" t="s">
        <v>188</v>
      </c>
      <c r="D23" s="76">
        <v>19450</v>
      </c>
      <c r="E23" s="76">
        <v>798.61699999999996</v>
      </c>
      <c r="F23" s="77">
        <v>2.2460533044552766E-2</v>
      </c>
      <c r="G23" s="78"/>
      <c r="H23" s="78"/>
      <c r="I23" s="72"/>
      <c r="J23" s="19"/>
      <c r="K23" s="73"/>
      <c r="L23" s="73"/>
      <c r="M23" s="73"/>
    </row>
    <row r="24" spans="1:13" x14ac:dyDescent="0.3">
      <c r="A24" s="75" t="s">
        <v>84</v>
      </c>
      <c r="B24" s="75" t="s">
        <v>85</v>
      </c>
      <c r="C24" s="75" t="s">
        <v>184</v>
      </c>
      <c r="D24" s="76">
        <v>7941</v>
      </c>
      <c r="E24" s="76">
        <v>737.83801500000004</v>
      </c>
      <c r="F24" s="77">
        <v>2.0751167477570248E-2</v>
      </c>
      <c r="G24" s="78"/>
      <c r="H24" s="78"/>
      <c r="I24" s="72"/>
      <c r="J24" s="19"/>
      <c r="K24" s="73"/>
      <c r="L24" s="73"/>
      <c r="M24" s="73"/>
    </row>
    <row r="25" spans="1:13" x14ac:dyDescent="0.3">
      <c r="A25" s="75" t="s">
        <v>95</v>
      </c>
      <c r="B25" s="75" t="s">
        <v>96</v>
      </c>
      <c r="C25" s="75" t="s">
        <v>192</v>
      </c>
      <c r="D25" s="76">
        <v>226000</v>
      </c>
      <c r="E25" s="76">
        <v>723.2</v>
      </c>
      <c r="F25" s="77">
        <v>2.0339483754816839E-2</v>
      </c>
      <c r="G25" s="78"/>
      <c r="H25" s="78"/>
      <c r="I25" s="72"/>
      <c r="J25" s="19"/>
      <c r="K25" s="73"/>
      <c r="L25" s="73"/>
      <c r="M25" s="73"/>
    </row>
    <row r="26" spans="1:13" x14ac:dyDescent="0.3">
      <c r="A26" s="75" t="s">
        <v>91</v>
      </c>
      <c r="B26" s="75" t="s">
        <v>92</v>
      </c>
      <c r="C26" s="75" t="s">
        <v>194</v>
      </c>
      <c r="D26" s="76">
        <v>95792</v>
      </c>
      <c r="E26" s="76">
        <v>697.98840800000005</v>
      </c>
      <c r="F26" s="77">
        <v>1.9630425726723546E-2</v>
      </c>
      <c r="G26" s="78"/>
      <c r="H26" s="78"/>
      <c r="I26" s="72"/>
      <c r="J26" s="19"/>
      <c r="K26" s="73"/>
      <c r="L26" s="73"/>
      <c r="M26" s="73"/>
    </row>
    <row r="27" spans="1:13" x14ac:dyDescent="0.3">
      <c r="A27" s="75" t="s">
        <v>77</v>
      </c>
      <c r="B27" s="75" t="s">
        <v>32</v>
      </c>
      <c r="C27" s="75" t="s">
        <v>177</v>
      </c>
      <c r="D27" s="76">
        <v>133000</v>
      </c>
      <c r="E27" s="76">
        <v>657.95100000000002</v>
      </c>
      <c r="F27" s="77">
        <v>1.8504402206810697E-2</v>
      </c>
      <c r="G27" s="78"/>
      <c r="H27" s="78"/>
      <c r="I27" s="72"/>
      <c r="J27" s="19"/>
      <c r="K27" s="73"/>
      <c r="L27" s="73"/>
      <c r="M27" s="73"/>
    </row>
    <row r="28" spans="1:13" x14ac:dyDescent="0.3">
      <c r="A28" s="75" t="s">
        <v>69</v>
      </c>
      <c r="B28" s="75" t="s">
        <v>28</v>
      </c>
      <c r="C28" s="75" t="s">
        <v>188</v>
      </c>
      <c r="D28" s="76">
        <v>6004</v>
      </c>
      <c r="E28" s="76">
        <v>652.87495999999999</v>
      </c>
      <c r="F28" s="77">
        <v>1.8361642205263682E-2</v>
      </c>
      <c r="G28" s="78"/>
      <c r="H28" s="78"/>
      <c r="I28" s="72"/>
      <c r="J28" s="19"/>
      <c r="K28" s="73"/>
      <c r="L28" s="73"/>
      <c r="M28" s="73"/>
    </row>
    <row r="29" spans="1:13" x14ac:dyDescent="0.3">
      <c r="A29" s="75" t="s">
        <v>89</v>
      </c>
      <c r="B29" s="75" t="s">
        <v>90</v>
      </c>
      <c r="C29" s="75" t="s">
        <v>193</v>
      </c>
      <c r="D29" s="76">
        <v>62300</v>
      </c>
      <c r="E29" s="76">
        <v>641.69000000000005</v>
      </c>
      <c r="F29" s="77">
        <v>1.8047073189475137E-2</v>
      </c>
      <c r="G29" s="78"/>
      <c r="H29" s="78"/>
      <c r="I29" s="72"/>
      <c r="J29" s="19"/>
      <c r="K29" s="73"/>
      <c r="L29" s="73"/>
      <c r="M29" s="73"/>
    </row>
    <row r="30" spans="1:13" x14ac:dyDescent="0.3">
      <c r="A30" s="75" t="s">
        <v>74</v>
      </c>
      <c r="B30" s="75" t="s">
        <v>34</v>
      </c>
      <c r="C30" s="75" t="s">
        <v>195</v>
      </c>
      <c r="D30" s="76">
        <v>5830</v>
      </c>
      <c r="E30" s="76">
        <v>638.73479999999995</v>
      </c>
      <c r="F30" s="77">
        <v>1.7963960298999149E-2</v>
      </c>
      <c r="G30" s="78"/>
      <c r="H30" s="78"/>
      <c r="I30" s="72"/>
      <c r="J30" s="19"/>
      <c r="K30" s="73"/>
      <c r="L30" s="73"/>
      <c r="M30" s="73"/>
    </row>
    <row r="31" spans="1:13" x14ac:dyDescent="0.3">
      <c r="A31" s="75" t="s">
        <v>68</v>
      </c>
      <c r="B31" s="75" t="s">
        <v>29</v>
      </c>
      <c r="C31" s="75" t="s">
        <v>196</v>
      </c>
      <c r="D31" s="76">
        <v>12650</v>
      </c>
      <c r="E31" s="76">
        <v>630.476</v>
      </c>
      <c r="F31" s="77">
        <v>1.7731687444416347E-2</v>
      </c>
      <c r="G31" s="78"/>
      <c r="H31" s="78"/>
      <c r="I31" s="72"/>
      <c r="J31" s="19"/>
      <c r="K31" s="73"/>
      <c r="L31" s="73"/>
      <c r="M31" s="73"/>
    </row>
    <row r="32" spans="1:13" x14ac:dyDescent="0.3">
      <c r="A32" s="75" t="s">
        <v>70</v>
      </c>
      <c r="B32" s="75" t="s">
        <v>25</v>
      </c>
      <c r="C32" s="75" t="s">
        <v>188</v>
      </c>
      <c r="D32" s="76">
        <v>5247</v>
      </c>
      <c r="E32" s="76">
        <v>627.90849000000003</v>
      </c>
      <c r="F32" s="77">
        <v>1.7659478058443822E-2</v>
      </c>
      <c r="G32" s="78"/>
      <c r="H32" s="78"/>
      <c r="I32" s="72"/>
      <c r="J32" s="19"/>
      <c r="K32" s="73"/>
      <c r="L32" s="73"/>
      <c r="M32" s="73"/>
    </row>
    <row r="33" spans="1:13" x14ac:dyDescent="0.3">
      <c r="A33" s="75" t="s">
        <v>67</v>
      </c>
      <c r="B33" s="75" t="s">
        <v>45</v>
      </c>
      <c r="C33" s="75" t="s">
        <v>190</v>
      </c>
      <c r="D33" s="76">
        <v>41100</v>
      </c>
      <c r="E33" s="76">
        <v>626.36400000000003</v>
      </c>
      <c r="F33" s="77">
        <v>1.7616040379704226E-2</v>
      </c>
      <c r="G33" s="78"/>
      <c r="H33" s="78"/>
      <c r="I33" s="72"/>
      <c r="J33" s="19"/>
      <c r="K33" s="73"/>
      <c r="L33" s="73"/>
      <c r="M33" s="73"/>
    </row>
    <row r="34" spans="1:13" x14ac:dyDescent="0.3">
      <c r="A34" s="75" t="s">
        <v>66</v>
      </c>
      <c r="B34" s="75" t="s">
        <v>27</v>
      </c>
      <c r="C34" s="75" t="s">
        <v>191</v>
      </c>
      <c r="D34" s="76">
        <v>45998</v>
      </c>
      <c r="E34" s="76">
        <v>622.81291999999996</v>
      </c>
      <c r="F34" s="77">
        <v>1.7516168789587998E-2</v>
      </c>
      <c r="G34" s="78"/>
      <c r="H34" s="78"/>
      <c r="I34" s="72"/>
      <c r="J34" s="19"/>
      <c r="K34" s="73"/>
      <c r="L34" s="73"/>
      <c r="M34" s="73"/>
    </row>
    <row r="35" spans="1:13" x14ac:dyDescent="0.3">
      <c r="A35" s="75" t="s">
        <v>158</v>
      </c>
      <c r="B35" s="75" t="s">
        <v>159</v>
      </c>
      <c r="C35" s="75" t="s">
        <v>197</v>
      </c>
      <c r="D35" s="76">
        <v>150000</v>
      </c>
      <c r="E35" s="76">
        <v>619.35</v>
      </c>
      <c r="F35" s="77">
        <v>1.7418776636540113E-2</v>
      </c>
      <c r="G35" s="78"/>
      <c r="H35" s="78"/>
      <c r="I35" s="72"/>
      <c r="J35" s="19"/>
      <c r="K35" s="73"/>
      <c r="L35" s="73"/>
      <c r="M35" s="73"/>
    </row>
    <row r="36" spans="1:13" x14ac:dyDescent="0.3">
      <c r="A36" s="75" t="s">
        <v>152</v>
      </c>
      <c r="B36" s="75" t="s">
        <v>153</v>
      </c>
      <c r="C36" s="75" t="s">
        <v>198</v>
      </c>
      <c r="D36" s="76">
        <v>62500</v>
      </c>
      <c r="E36" s="76">
        <v>593.4375</v>
      </c>
      <c r="F36" s="77">
        <v>1.6690006071279202E-2</v>
      </c>
      <c r="G36" s="78"/>
      <c r="H36" s="78"/>
      <c r="I36" s="72"/>
      <c r="J36" s="19"/>
      <c r="K36" s="73"/>
      <c r="L36" s="73"/>
      <c r="M36" s="73"/>
    </row>
    <row r="37" spans="1:13" x14ac:dyDescent="0.3">
      <c r="A37" s="75" t="s">
        <v>178</v>
      </c>
      <c r="B37" s="75" t="s">
        <v>179</v>
      </c>
      <c r="C37" s="75" t="s">
        <v>184</v>
      </c>
      <c r="D37" s="76">
        <v>44000</v>
      </c>
      <c r="E37" s="76">
        <v>511.28</v>
      </c>
      <c r="F37" s="77">
        <v>1.4379385030645401E-2</v>
      </c>
      <c r="G37" s="78"/>
      <c r="H37" s="78"/>
      <c r="I37" s="72"/>
      <c r="J37" s="19"/>
      <c r="K37" s="73"/>
      <c r="L37" s="73"/>
      <c r="M37" s="73"/>
    </row>
    <row r="38" spans="1:13" x14ac:dyDescent="0.3">
      <c r="A38" s="75" t="s">
        <v>150</v>
      </c>
      <c r="B38" s="75" t="s">
        <v>151</v>
      </c>
      <c r="C38" s="75" t="s">
        <v>205</v>
      </c>
      <c r="D38" s="76">
        <v>10199</v>
      </c>
      <c r="E38" s="76">
        <v>485.47239999999999</v>
      </c>
      <c r="F38" s="77">
        <v>1.3653564703003241E-2</v>
      </c>
      <c r="G38" s="78"/>
      <c r="H38" s="78"/>
      <c r="I38" s="72"/>
      <c r="J38" s="19"/>
      <c r="K38" s="73"/>
      <c r="L38" s="73"/>
      <c r="M38" s="73"/>
    </row>
    <row r="39" spans="1:13" x14ac:dyDescent="0.3">
      <c r="A39" s="75" t="s">
        <v>162</v>
      </c>
      <c r="B39" s="75" t="s">
        <v>163</v>
      </c>
      <c r="C39" s="75" t="s">
        <v>204</v>
      </c>
      <c r="D39" s="76">
        <v>1540</v>
      </c>
      <c r="E39" s="76">
        <v>471.702</v>
      </c>
      <c r="F39" s="77">
        <v>1.3266282032791224E-2</v>
      </c>
      <c r="G39" s="78"/>
      <c r="H39" s="78"/>
      <c r="I39" s="72"/>
      <c r="J39" s="19"/>
      <c r="K39" s="73"/>
      <c r="L39" s="73"/>
      <c r="M39" s="73"/>
    </row>
    <row r="40" spans="1:13" x14ac:dyDescent="0.3">
      <c r="A40" s="75" t="s">
        <v>76</v>
      </c>
      <c r="B40" s="75" t="s">
        <v>47</v>
      </c>
      <c r="C40" s="75" t="s">
        <v>199</v>
      </c>
      <c r="D40" s="76">
        <v>121000</v>
      </c>
      <c r="E40" s="76">
        <v>469.84300000000002</v>
      </c>
      <c r="F40" s="77">
        <v>1.3213998984809747E-2</v>
      </c>
      <c r="G40" s="78"/>
      <c r="H40" s="78"/>
      <c r="I40" s="72"/>
      <c r="J40" s="19"/>
      <c r="K40" s="73"/>
      <c r="L40" s="73"/>
      <c r="M40" s="73"/>
    </row>
    <row r="41" spans="1:13" x14ac:dyDescent="0.3">
      <c r="A41" s="75" t="s">
        <v>75</v>
      </c>
      <c r="B41" s="75" t="s">
        <v>208</v>
      </c>
      <c r="C41" s="75" t="s">
        <v>190</v>
      </c>
      <c r="D41" s="76">
        <v>11600</v>
      </c>
      <c r="E41" s="76">
        <v>469.22</v>
      </c>
      <c r="F41" s="77">
        <v>1.3196477554528702E-2</v>
      </c>
      <c r="G41" s="78"/>
      <c r="H41" s="78"/>
      <c r="I41" s="72"/>
      <c r="J41" s="19"/>
      <c r="K41" s="73"/>
      <c r="L41" s="73"/>
      <c r="M41" s="73"/>
    </row>
    <row r="42" spans="1:13" x14ac:dyDescent="0.3">
      <c r="A42" s="75" t="s">
        <v>164</v>
      </c>
      <c r="B42" s="75" t="s">
        <v>165</v>
      </c>
      <c r="C42" s="75" t="s">
        <v>193</v>
      </c>
      <c r="D42" s="76">
        <v>252000</v>
      </c>
      <c r="E42" s="76">
        <v>463.45319999999998</v>
      </c>
      <c r="F42" s="77">
        <v>1.3034290421070079E-2</v>
      </c>
      <c r="G42" s="78"/>
      <c r="H42" s="78"/>
      <c r="I42" s="72"/>
      <c r="J42" s="19"/>
      <c r="K42" s="73"/>
      <c r="L42" s="73"/>
      <c r="M42" s="73"/>
    </row>
    <row r="43" spans="1:13" x14ac:dyDescent="0.3">
      <c r="A43" s="75" t="s">
        <v>156</v>
      </c>
      <c r="B43" s="75" t="s">
        <v>157</v>
      </c>
      <c r="C43" s="75" t="s">
        <v>200</v>
      </c>
      <c r="D43" s="76">
        <v>270000</v>
      </c>
      <c r="E43" s="76">
        <v>440.80200000000002</v>
      </c>
      <c r="F43" s="77">
        <v>1.2397241590280383E-2</v>
      </c>
      <c r="G43" s="78"/>
      <c r="H43" s="78"/>
      <c r="I43" s="72"/>
      <c r="J43" s="19"/>
      <c r="K43" s="73"/>
      <c r="L43" s="73"/>
      <c r="M43" s="73"/>
    </row>
    <row r="44" spans="1:13" x14ac:dyDescent="0.3">
      <c r="A44" s="75" t="s">
        <v>80</v>
      </c>
      <c r="B44" s="75" t="s">
        <v>81</v>
      </c>
      <c r="C44" s="75" t="s">
        <v>202</v>
      </c>
      <c r="D44" s="76">
        <v>237000</v>
      </c>
      <c r="E44" s="76">
        <v>436.791</v>
      </c>
      <c r="F44" s="77">
        <v>1.2284435078470966E-2</v>
      </c>
      <c r="G44" s="78"/>
      <c r="H44" s="78"/>
      <c r="I44" s="72"/>
      <c r="J44" s="19"/>
      <c r="K44" s="73"/>
      <c r="L44" s="73"/>
      <c r="M44" s="73"/>
    </row>
    <row r="45" spans="1:13" x14ac:dyDescent="0.3">
      <c r="A45" s="75" t="s">
        <v>160</v>
      </c>
      <c r="B45" s="75" t="s">
        <v>161</v>
      </c>
      <c r="C45" s="75" t="s">
        <v>203</v>
      </c>
      <c r="D45" s="76">
        <v>2150</v>
      </c>
      <c r="E45" s="76">
        <v>423.55</v>
      </c>
      <c r="F45" s="77">
        <v>1.1912041405354913E-2</v>
      </c>
      <c r="G45" s="78"/>
      <c r="H45" s="78"/>
      <c r="I45" s="72"/>
      <c r="J45" s="19"/>
      <c r="K45" s="73"/>
      <c r="L45" s="73"/>
      <c r="M45" s="73"/>
    </row>
    <row r="46" spans="1:13" x14ac:dyDescent="0.3">
      <c r="A46" s="75" t="s">
        <v>154</v>
      </c>
      <c r="B46" s="75" t="s">
        <v>155</v>
      </c>
      <c r="C46" s="75" t="s">
        <v>206</v>
      </c>
      <c r="D46" s="76">
        <v>14243</v>
      </c>
      <c r="E46" s="76">
        <v>413.53126200000003</v>
      </c>
      <c r="F46" s="77">
        <v>1.1630271550826752E-2</v>
      </c>
      <c r="G46" s="78"/>
      <c r="H46" s="78"/>
      <c r="I46" s="72"/>
      <c r="J46" s="19"/>
      <c r="K46" s="73"/>
      <c r="L46" s="73"/>
      <c r="M46" s="73"/>
    </row>
    <row r="47" spans="1:13" x14ac:dyDescent="0.3">
      <c r="A47" s="75" t="s">
        <v>62</v>
      </c>
      <c r="B47" s="75" t="s">
        <v>22</v>
      </c>
      <c r="C47" s="75" t="s">
        <v>190</v>
      </c>
      <c r="D47" s="76">
        <v>41135</v>
      </c>
      <c r="E47" s="76">
        <v>408.92303500000003</v>
      </c>
      <c r="F47" s="77">
        <v>1.1500668455963632E-2</v>
      </c>
      <c r="G47" s="78"/>
      <c r="H47" s="78"/>
      <c r="I47" s="72"/>
      <c r="J47" s="19"/>
      <c r="K47" s="73"/>
      <c r="L47" s="73"/>
      <c r="M47" s="73"/>
    </row>
    <row r="48" spans="1:13" x14ac:dyDescent="0.3">
      <c r="A48" s="75" t="s">
        <v>168</v>
      </c>
      <c r="B48" s="75" t="s">
        <v>169</v>
      </c>
      <c r="C48" s="75" t="s">
        <v>193</v>
      </c>
      <c r="D48" s="76">
        <v>78550</v>
      </c>
      <c r="E48" s="76">
        <v>405.35727500000002</v>
      </c>
      <c r="F48" s="77">
        <v>1.1400384001326497E-2</v>
      </c>
      <c r="G48" s="78"/>
      <c r="H48" s="78"/>
      <c r="I48" s="72"/>
      <c r="J48" s="19"/>
      <c r="K48" s="73"/>
      <c r="L48" s="73"/>
      <c r="M48" s="73"/>
    </row>
    <row r="49" spans="1:13" x14ac:dyDescent="0.3">
      <c r="A49" s="75" t="s">
        <v>99</v>
      </c>
      <c r="B49" s="75" t="s">
        <v>100</v>
      </c>
      <c r="C49" s="75" t="s">
        <v>205</v>
      </c>
      <c r="D49" s="76">
        <v>4977</v>
      </c>
      <c r="E49" s="76">
        <v>399.45402000000001</v>
      </c>
      <c r="F49" s="77">
        <v>1.1234359168399172E-2</v>
      </c>
      <c r="G49" s="78"/>
      <c r="H49" s="78"/>
      <c r="I49" s="72"/>
      <c r="J49" s="19"/>
      <c r="K49" s="73"/>
      <c r="L49" s="73"/>
      <c r="M49" s="73"/>
    </row>
    <row r="50" spans="1:13" x14ac:dyDescent="0.3">
      <c r="A50" s="75" t="s">
        <v>209</v>
      </c>
      <c r="B50" s="75" t="s">
        <v>210</v>
      </c>
      <c r="C50" s="75" t="s">
        <v>201</v>
      </c>
      <c r="D50" s="76">
        <v>35000</v>
      </c>
      <c r="E50" s="76">
        <v>397.25</v>
      </c>
      <c r="F50" s="77">
        <v>1.1172372679204909E-2</v>
      </c>
      <c r="G50" s="78"/>
      <c r="H50" s="78"/>
      <c r="I50" s="72"/>
      <c r="J50" s="19"/>
      <c r="K50" s="73"/>
      <c r="L50" s="73"/>
      <c r="M50" s="73"/>
    </row>
    <row r="51" spans="1:13" x14ac:dyDescent="0.3">
      <c r="A51" s="75" t="s">
        <v>93</v>
      </c>
      <c r="B51" s="75" t="s">
        <v>94</v>
      </c>
      <c r="C51" s="75" t="s">
        <v>204</v>
      </c>
      <c r="D51" s="76">
        <v>45868</v>
      </c>
      <c r="E51" s="76">
        <v>391.80445600000002</v>
      </c>
      <c r="F51" s="77">
        <v>1.1019220641422635E-2</v>
      </c>
      <c r="G51" s="78"/>
      <c r="H51" s="78"/>
      <c r="I51" s="72"/>
      <c r="J51" s="19"/>
      <c r="K51" s="73"/>
      <c r="L51" s="73"/>
      <c r="M51" s="73"/>
    </row>
    <row r="52" spans="1:13" x14ac:dyDescent="0.3">
      <c r="A52" s="75" t="s">
        <v>211</v>
      </c>
      <c r="B52" s="75" t="s">
        <v>212</v>
      </c>
      <c r="C52" s="75" t="s">
        <v>177</v>
      </c>
      <c r="D52" s="76">
        <v>190000</v>
      </c>
      <c r="E52" s="76">
        <v>387.6</v>
      </c>
      <c r="F52" s="77">
        <v>1.0900973317708805E-2</v>
      </c>
      <c r="G52" s="78"/>
      <c r="H52" s="78"/>
      <c r="I52" s="72"/>
      <c r="J52" s="19"/>
      <c r="K52" s="73"/>
      <c r="L52" s="73"/>
      <c r="M52" s="73"/>
    </row>
    <row r="53" spans="1:13" x14ac:dyDescent="0.3">
      <c r="A53" s="75" t="s">
        <v>166</v>
      </c>
      <c r="B53" s="75" t="s">
        <v>167</v>
      </c>
      <c r="C53" s="75" t="s">
        <v>193</v>
      </c>
      <c r="D53" s="76">
        <v>10300</v>
      </c>
      <c r="E53" s="76">
        <v>318.476</v>
      </c>
      <c r="F53" s="77">
        <v>8.9569101608117374E-3</v>
      </c>
      <c r="G53" s="78"/>
      <c r="H53" s="78"/>
      <c r="I53" s="72"/>
      <c r="J53" s="19"/>
      <c r="K53" s="73"/>
      <c r="L53" s="73"/>
      <c r="M53" s="73"/>
    </row>
    <row r="54" spans="1:13" x14ac:dyDescent="0.3">
      <c r="A54" s="75" t="s">
        <v>112</v>
      </c>
      <c r="B54" s="75" t="s">
        <v>113</v>
      </c>
      <c r="C54" s="75" t="s">
        <v>203</v>
      </c>
      <c r="D54" s="76">
        <v>12500</v>
      </c>
      <c r="E54" s="76">
        <v>309.0625</v>
      </c>
      <c r="F54" s="77">
        <v>8.6921621929937493E-3</v>
      </c>
      <c r="G54" s="78"/>
      <c r="H54" s="78"/>
      <c r="I54" s="72"/>
      <c r="J54" s="19"/>
      <c r="K54" s="73"/>
      <c r="L54" s="73"/>
      <c r="M54" s="73"/>
    </row>
    <row r="55" spans="1:13" x14ac:dyDescent="0.3">
      <c r="A55" s="75" t="s">
        <v>109</v>
      </c>
      <c r="B55" s="75" t="s">
        <v>110</v>
      </c>
      <c r="C55" s="75" t="s">
        <v>180</v>
      </c>
      <c r="D55" s="76">
        <v>70939</v>
      </c>
      <c r="E55" s="76">
        <v>28.4394451</v>
      </c>
      <c r="F55" s="77">
        <v>7.9983909237756555E-4</v>
      </c>
      <c r="G55" s="78"/>
      <c r="H55" s="78"/>
      <c r="I55" s="72"/>
      <c r="J55" s="19"/>
      <c r="K55" s="73"/>
      <c r="L55" s="73"/>
      <c r="M55" s="73"/>
    </row>
    <row r="56" spans="1:13" x14ac:dyDescent="0.3">
      <c r="A56" s="79"/>
      <c r="B56" s="68" t="s">
        <v>49</v>
      </c>
      <c r="C56" s="79"/>
      <c r="D56" s="80"/>
      <c r="E56" s="81">
        <v>34064.371649100001</v>
      </c>
      <c r="F56" s="82">
        <v>0.95803613630380668</v>
      </c>
      <c r="G56" s="83"/>
      <c r="H56" s="84"/>
      <c r="I56" s="72"/>
      <c r="J56" s="19"/>
      <c r="K56" s="73"/>
      <c r="L56" s="73"/>
      <c r="M56" s="73"/>
    </row>
    <row r="57" spans="1:13" x14ac:dyDescent="0.3">
      <c r="A57" s="67"/>
      <c r="B57" s="68" t="s">
        <v>50</v>
      </c>
      <c r="C57" s="67"/>
      <c r="D57" s="69"/>
      <c r="E57" s="74" t="s">
        <v>12</v>
      </c>
      <c r="F57" s="74" t="s">
        <v>12</v>
      </c>
      <c r="G57" s="83"/>
      <c r="H57" s="84"/>
      <c r="I57" s="72"/>
      <c r="J57" s="19"/>
      <c r="K57" s="73"/>
      <c r="L57" s="73"/>
      <c r="M57" s="73"/>
    </row>
    <row r="58" spans="1:13" x14ac:dyDescent="0.3">
      <c r="A58" s="79"/>
      <c r="B58" s="68" t="s">
        <v>49</v>
      </c>
      <c r="C58" s="79"/>
      <c r="D58" s="80"/>
      <c r="E58" s="81" t="s">
        <v>12</v>
      </c>
      <c r="F58" s="82" t="s">
        <v>12</v>
      </c>
      <c r="G58" s="83"/>
      <c r="H58" s="84"/>
      <c r="I58" s="72"/>
      <c r="J58" s="19"/>
      <c r="K58" s="73"/>
      <c r="L58" s="73"/>
      <c r="M58" s="73"/>
    </row>
    <row r="59" spans="1:13" x14ac:dyDescent="0.3">
      <c r="A59" s="79"/>
      <c r="B59" s="85" t="s">
        <v>213</v>
      </c>
      <c r="C59" s="79"/>
      <c r="D59" s="80"/>
      <c r="E59" s="81" t="s">
        <v>12</v>
      </c>
      <c r="F59" s="82" t="s">
        <v>12</v>
      </c>
      <c r="G59" s="83"/>
      <c r="H59" s="84"/>
      <c r="I59" s="72"/>
      <c r="J59" s="19"/>
      <c r="K59" s="73"/>
      <c r="L59" s="73"/>
      <c r="M59" s="73"/>
    </row>
    <row r="60" spans="1:13" x14ac:dyDescent="0.3">
      <c r="A60" s="79"/>
      <c r="B60" s="68" t="s">
        <v>49</v>
      </c>
      <c r="C60" s="79"/>
      <c r="D60" s="80"/>
      <c r="E60" s="81" t="s">
        <v>12</v>
      </c>
      <c r="F60" s="82" t="s">
        <v>12</v>
      </c>
      <c r="G60" s="83"/>
      <c r="H60" s="84"/>
      <c r="I60" s="72"/>
      <c r="J60" s="19"/>
      <c r="K60" s="73"/>
      <c r="L60" s="73"/>
      <c r="M60" s="73"/>
    </row>
    <row r="61" spans="1:13" x14ac:dyDescent="0.3">
      <c r="A61" s="79"/>
      <c r="B61" s="85" t="s">
        <v>214</v>
      </c>
      <c r="C61" s="79"/>
      <c r="D61" s="80"/>
      <c r="E61" s="81" t="s">
        <v>12</v>
      </c>
      <c r="F61" s="82" t="s">
        <v>12</v>
      </c>
      <c r="G61" s="83"/>
      <c r="H61" s="84"/>
      <c r="I61" s="72"/>
      <c r="J61" s="19"/>
      <c r="K61" s="73"/>
      <c r="L61" s="73"/>
      <c r="M61" s="73"/>
    </row>
    <row r="62" spans="1:13" x14ac:dyDescent="0.3">
      <c r="A62" s="79"/>
      <c r="B62" s="68" t="s">
        <v>49</v>
      </c>
      <c r="C62" s="79"/>
      <c r="D62" s="80"/>
      <c r="E62" s="81" t="s">
        <v>12</v>
      </c>
      <c r="F62" s="82" t="s">
        <v>12</v>
      </c>
      <c r="G62" s="83"/>
      <c r="H62" s="84"/>
      <c r="I62" s="72"/>
      <c r="J62" s="19"/>
      <c r="K62" s="73"/>
      <c r="L62" s="73"/>
      <c r="M62" s="73"/>
    </row>
    <row r="63" spans="1:13" x14ac:dyDescent="0.3">
      <c r="A63" s="79"/>
      <c r="B63" s="68" t="s">
        <v>13</v>
      </c>
      <c r="C63" s="79"/>
      <c r="D63" s="80"/>
      <c r="E63" s="81">
        <v>34064.371649100001</v>
      </c>
      <c r="F63" s="82">
        <v>0.95803613630380668</v>
      </c>
      <c r="G63" s="83"/>
      <c r="H63" s="84"/>
      <c r="I63" s="72"/>
      <c r="J63" s="19"/>
      <c r="K63" s="73"/>
      <c r="L63" s="73"/>
      <c r="M63" s="73"/>
    </row>
    <row r="64" spans="1:13" x14ac:dyDescent="0.3">
      <c r="A64" s="79"/>
      <c r="B64" s="68"/>
      <c r="C64" s="79"/>
      <c r="D64" s="80"/>
      <c r="E64" s="81"/>
      <c r="F64" s="86"/>
      <c r="G64" s="83"/>
      <c r="H64" s="84"/>
      <c r="I64" s="72"/>
      <c r="J64" s="19"/>
      <c r="K64" s="73"/>
      <c r="L64" s="73"/>
      <c r="M64" s="73"/>
    </row>
    <row r="65" spans="1:13" x14ac:dyDescent="0.3">
      <c r="A65" s="67"/>
      <c r="B65" s="68" t="s">
        <v>51</v>
      </c>
      <c r="C65" s="67"/>
      <c r="D65" s="67"/>
      <c r="E65" s="67"/>
      <c r="F65" s="87"/>
      <c r="G65" s="88"/>
      <c r="H65" s="67"/>
      <c r="I65" s="72"/>
      <c r="J65" s="19"/>
      <c r="K65" s="73"/>
      <c r="L65" s="73"/>
      <c r="M65" s="73"/>
    </row>
    <row r="66" spans="1:13" x14ac:dyDescent="0.3">
      <c r="A66" s="75"/>
      <c r="B66" s="68" t="s">
        <v>52</v>
      </c>
      <c r="C66" s="75"/>
      <c r="D66" s="89"/>
      <c r="E66" s="81" t="s">
        <v>12</v>
      </c>
      <c r="F66" s="90" t="s">
        <v>12</v>
      </c>
      <c r="G66" s="72"/>
      <c r="H66" s="75"/>
      <c r="I66" s="72"/>
      <c r="J66" s="19"/>
      <c r="K66" s="73"/>
      <c r="L66" s="73"/>
      <c r="M66" s="73"/>
    </row>
    <row r="67" spans="1:13" x14ac:dyDescent="0.3">
      <c r="A67" s="67"/>
      <c r="B67" s="68" t="s">
        <v>49</v>
      </c>
      <c r="C67" s="67"/>
      <c r="D67" s="69"/>
      <c r="E67" s="91" t="s">
        <v>12</v>
      </c>
      <c r="F67" s="82" t="s">
        <v>12</v>
      </c>
      <c r="G67" s="92"/>
      <c r="H67" s="82"/>
      <c r="I67" s="72"/>
      <c r="J67" s="19"/>
      <c r="K67" s="73"/>
      <c r="L67" s="73"/>
      <c r="M67" s="73"/>
    </row>
    <row r="68" spans="1:13" x14ac:dyDescent="0.3">
      <c r="A68" s="79"/>
      <c r="B68" s="68" t="s">
        <v>14</v>
      </c>
      <c r="C68" s="79"/>
      <c r="D68" s="80"/>
      <c r="E68" s="74" t="s">
        <v>12</v>
      </c>
      <c r="F68" s="74" t="s">
        <v>12</v>
      </c>
      <c r="G68" s="92"/>
      <c r="H68" s="82"/>
      <c r="I68" s="72"/>
      <c r="J68" s="19"/>
      <c r="K68" s="73"/>
      <c r="L68" s="73"/>
      <c r="M68" s="73"/>
    </row>
    <row r="69" spans="1:13" x14ac:dyDescent="0.3">
      <c r="A69" s="93"/>
      <c r="B69" s="68" t="s">
        <v>49</v>
      </c>
      <c r="C69" s="93"/>
      <c r="D69" s="93"/>
      <c r="E69" s="91" t="s">
        <v>12</v>
      </c>
      <c r="F69" s="82" t="s">
        <v>12</v>
      </c>
      <c r="G69" s="94"/>
      <c r="H69" s="93"/>
      <c r="I69" s="72"/>
      <c r="J69" s="19"/>
      <c r="K69" s="73"/>
      <c r="L69" s="73"/>
      <c r="M69" s="73"/>
    </row>
    <row r="70" spans="1:13" x14ac:dyDescent="0.3">
      <c r="A70" s="93"/>
      <c r="B70" s="68" t="s">
        <v>53</v>
      </c>
      <c r="C70" s="93"/>
      <c r="D70" s="94"/>
      <c r="E70" s="74" t="s">
        <v>12</v>
      </c>
      <c r="F70" s="74" t="s">
        <v>12</v>
      </c>
      <c r="G70" s="95"/>
      <c r="H70" s="95"/>
      <c r="I70" s="72"/>
      <c r="J70" s="19"/>
      <c r="K70" s="73"/>
      <c r="L70" s="73"/>
      <c r="M70" s="73"/>
    </row>
    <row r="71" spans="1:13" x14ac:dyDescent="0.3">
      <c r="A71" s="79"/>
      <c r="B71" s="68" t="s">
        <v>49</v>
      </c>
      <c r="C71" s="79"/>
      <c r="D71" s="80"/>
      <c r="E71" s="91" t="s">
        <v>12</v>
      </c>
      <c r="F71" s="82" t="s">
        <v>12</v>
      </c>
      <c r="G71" s="96"/>
      <c r="H71" s="97"/>
      <c r="I71" s="72"/>
      <c r="J71" s="19"/>
      <c r="K71" s="73"/>
      <c r="L71" s="73"/>
      <c r="M71" s="73"/>
    </row>
    <row r="72" spans="1:13" x14ac:dyDescent="0.3">
      <c r="A72" s="79"/>
      <c r="B72" s="68" t="s">
        <v>54</v>
      </c>
      <c r="C72" s="79"/>
      <c r="D72" s="80"/>
      <c r="E72" s="74" t="s">
        <v>12</v>
      </c>
      <c r="F72" s="74" t="s">
        <v>12</v>
      </c>
      <c r="G72" s="96"/>
      <c r="H72" s="97"/>
      <c r="I72" s="72"/>
      <c r="J72" s="19"/>
      <c r="K72" s="73"/>
      <c r="L72" s="73"/>
      <c r="M72" s="73"/>
    </row>
    <row r="73" spans="1:13" x14ac:dyDescent="0.3">
      <c r="A73" s="79"/>
      <c r="B73" s="68" t="s">
        <v>49</v>
      </c>
      <c r="C73" s="79"/>
      <c r="D73" s="80"/>
      <c r="E73" s="91" t="s">
        <v>12</v>
      </c>
      <c r="F73" s="82" t="s">
        <v>12</v>
      </c>
      <c r="G73" s="92"/>
      <c r="H73" s="82"/>
      <c r="I73" s="72"/>
      <c r="J73" s="19"/>
      <c r="K73" s="73"/>
      <c r="L73" s="73"/>
      <c r="M73" s="73"/>
    </row>
    <row r="74" spans="1:13" x14ac:dyDescent="0.3">
      <c r="A74" s="79"/>
      <c r="B74" s="98" t="s">
        <v>13</v>
      </c>
      <c r="C74" s="79"/>
      <c r="D74" s="80"/>
      <c r="E74" s="91" t="s">
        <v>12</v>
      </c>
      <c r="F74" s="82" t="s">
        <v>12</v>
      </c>
      <c r="G74" s="92"/>
      <c r="H74" s="82"/>
      <c r="I74" s="72"/>
      <c r="J74" s="19"/>
      <c r="K74" s="73"/>
      <c r="L74" s="73"/>
      <c r="M74" s="73"/>
    </row>
    <row r="75" spans="1:13" x14ac:dyDescent="0.3">
      <c r="A75" s="79"/>
      <c r="B75" s="98"/>
      <c r="C75" s="79"/>
      <c r="D75" s="80"/>
      <c r="E75" s="91"/>
      <c r="F75" s="82"/>
      <c r="G75" s="92"/>
      <c r="H75" s="82"/>
      <c r="I75" s="72"/>
      <c r="J75" s="19"/>
      <c r="K75" s="73"/>
      <c r="L75" s="73"/>
      <c r="M75" s="73"/>
    </row>
    <row r="76" spans="1:13" x14ac:dyDescent="0.3">
      <c r="A76" s="79"/>
      <c r="B76" s="98" t="s">
        <v>215</v>
      </c>
      <c r="C76" s="79"/>
      <c r="D76" s="80"/>
      <c r="E76" s="91"/>
      <c r="F76" s="82"/>
      <c r="G76" s="92"/>
      <c r="H76" s="82"/>
      <c r="I76" s="72"/>
      <c r="J76" s="19"/>
      <c r="K76" s="73"/>
      <c r="L76" s="73"/>
      <c r="M76" s="73"/>
    </row>
    <row r="77" spans="1:13" x14ac:dyDescent="0.3">
      <c r="A77" s="79"/>
      <c r="B77" s="98" t="s">
        <v>13</v>
      </c>
      <c r="C77" s="79"/>
      <c r="D77" s="80"/>
      <c r="E77" s="91" t="s">
        <v>12</v>
      </c>
      <c r="F77" s="99" t="s">
        <v>12</v>
      </c>
      <c r="G77" s="92"/>
      <c r="H77" s="82"/>
      <c r="I77" s="72"/>
      <c r="J77" s="19"/>
      <c r="K77" s="73"/>
      <c r="L77" s="73"/>
      <c r="M77" s="73"/>
    </row>
    <row r="78" spans="1:13" x14ac:dyDescent="0.3">
      <c r="A78" s="93"/>
      <c r="B78" s="93"/>
      <c r="C78" s="93"/>
      <c r="D78" s="100"/>
      <c r="E78" s="100"/>
      <c r="F78" s="101"/>
      <c r="G78" s="95"/>
      <c r="H78" s="95"/>
      <c r="I78" s="72"/>
      <c r="J78" s="19"/>
      <c r="K78" s="73"/>
      <c r="L78" s="73"/>
      <c r="M78" s="73"/>
    </row>
    <row r="79" spans="1:13" x14ac:dyDescent="0.3">
      <c r="A79" s="79"/>
      <c r="B79" s="68" t="s">
        <v>55</v>
      </c>
      <c r="C79" s="79"/>
      <c r="D79" s="80"/>
      <c r="E79" s="102"/>
      <c r="F79" s="90"/>
      <c r="G79" s="92"/>
      <c r="H79" s="82"/>
      <c r="I79" s="72"/>
      <c r="J79" s="19"/>
      <c r="K79" s="73"/>
      <c r="L79" s="73"/>
      <c r="M79" s="73"/>
    </row>
    <row r="80" spans="1:13" x14ac:dyDescent="0.3">
      <c r="A80" s="103"/>
      <c r="B80" s="68" t="s">
        <v>216</v>
      </c>
      <c r="C80" s="103"/>
      <c r="D80" s="104"/>
      <c r="E80" s="81"/>
      <c r="F80" s="82"/>
      <c r="G80" s="105"/>
      <c r="H80" s="106"/>
      <c r="I80" s="72"/>
      <c r="J80" s="19"/>
      <c r="K80" s="73"/>
      <c r="L80" s="73"/>
      <c r="M80" s="73"/>
    </row>
    <row r="81" spans="1:13" x14ac:dyDescent="0.3">
      <c r="A81" s="103"/>
      <c r="B81" s="75" t="s">
        <v>217</v>
      </c>
      <c r="C81" s="103"/>
      <c r="D81" s="107">
        <v>8286.9043000000001</v>
      </c>
      <c r="E81" s="107">
        <v>828.69042999999999</v>
      </c>
      <c r="F81" s="92">
        <v>2.3306326795847872E-2</v>
      </c>
      <c r="G81" s="105" t="s">
        <v>218</v>
      </c>
      <c r="H81" s="106"/>
      <c r="I81" s="108">
        <v>5.0700000000000002E-2</v>
      </c>
      <c r="J81" s="19"/>
      <c r="K81" s="73"/>
      <c r="L81" s="73"/>
      <c r="M81" s="73"/>
    </row>
    <row r="82" spans="1:13" s="11" customFormat="1" x14ac:dyDescent="0.3">
      <c r="A82" s="103"/>
      <c r="B82" s="68" t="s">
        <v>49</v>
      </c>
      <c r="C82" s="103"/>
      <c r="D82" s="104"/>
      <c r="E82" s="81">
        <v>828.69042999999999</v>
      </c>
      <c r="F82" s="82">
        <v>2.3306326795847872E-2</v>
      </c>
      <c r="G82" s="105"/>
      <c r="H82" s="106"/>
      <c r="I82" s="72"/>
      <c r="J82" s="19"/>
      <c r="K82" s="109"/>
      <c r="L82" s="109"/>
      <c r="M82" s="109"/>
    </row>
    <row r="83" spans="1:13" s="11" customFormat="1" x14ac:dyDescent="0.3">
      <c r="A83" s="103"/>
      <c r="B83" s="68" t="s">
        <v>219</v>
      </c>
      <c r="C83" s="103"/>
      <c r="D83" s="104"/>
      <c r="E83" s="81"/>
      <c r="F83" s="82"/>
      <c r="G83" s="105"/>
      <c r="H83" s="106"/>
      <c r="I83" s="72"/>
      <c r="J83" s="19"/>
      <c r="K83" s="109"/>
      <c r="L83" s="109"/>
      <c r="M83" s="109"/>
    </row>
    <row r="84" spans="1:13" s="11" customFormat="1" x14ac:dyDescent="0.3">
      <c r="A84" s="103"/>
      <c r="B84" s="68" t="s">
        <v>49</v>
      </c>
      <c r="C84" s="103"/>
      <c r="D84" s="104"/>
      <c r="E84" s="81" t="s">
        <v>12</v>
      </c>
      <c r="F84" s="82" t="s">
        <v>12</v>
      </c>
      <c r="G84" s="105"/>
      <c r="H84" s="106"/>
      <c r="I84" s="72"/>
      <c r="J84" s="19"/>
      <c r="K84" s="109"/>
      <c r="L84" s="109"/>
      <c r="M84" s="109"/>
    </row>
    <row r="85" spans="1:13" s="11" customFormat="1" x14ac:dyDescent="0.3">
      <c r="A85" s="79"/>
      <c r="B85" s="79" t="s">
        <v>13</v>
      </c>
      <c r="C85" s="79"/>
      <c r="D85" s="80"/>
      <c r="E85" s="81">
        <v>828.69042999999999</v>
      </c>
      <c r="F85" s="82">
        <v>2.3306326795847872E-2</v>
      </c>
      <c r="G85" s="92"/>
      <c r="H85" s="82"/>
      <c r="I85" s="72"/>
      <c r="J85" s="19"/>
      <c r="K85" s="109"/>
      <c r="L85" s="109"/>
      <c r="M85" s="109"/>
    </row>
    <row r="86" spans="1:13" s="11" customFormat="1" x14ac:dyDescent="0.3">
      <c r="A86" s="79"/>
      <c r="B86" s="79"/>
      <c r="C86" s="79"/>
      <c r="D86" s="80"/>
      <c r="E86" s="81"/>
      <c r="F86" s="82"/>
      <c r="G86" s="92"/>
      <c r="H86" s="82"/>
      <c r="I86" s="72"/>
      <c r="J86" s="19"/>
      <c r="K86" s="109"/>
      <c r="L86" s="109"/>
      <c r="M86" s="109"/>
    </row>
    <row r="87" spans="1:13" s="11" customFormat="1" x14ac:dyDescent="0.3">
      <c r="A87" s="79"/>
      <c r="B87" s="79"/>
      <c r="C87" s="79"/>
      <c r="D87" s="80"/>
      <c r="E87" s="80"/>
      <c r="F87" s="90"/>
      <c r="G87" s="92"/>
      <c r="H87" s="82"/>
      <c r="I87" s="72"/>
      <c r="J87" s="19"/>
      <c r="K87" s="109"/>
      <c r="L87" s="109"/>
      <c r="M87" s="109"/>
    </row>
    <row r="88" spans="1:13" s="11" customFormat="1" x14ac:dyDescent="0.3">
      <c r="A88" s="79"/>
      <c r="B88" s="110" t="s">
        <v>15</v>
      </c>
      <c r="C88" s="79"/>
      <c r="D88" s="80"/>
      <c r="E88" s="80"/>
      <c r="F88" s="90"/>
      <c r="G88" s="92"/>
      <c r="H88" s="82"/>
      <c r="I88" s="72"/>
      <c r="J88" s="19"/>
      <c r="K88" s="109"/>
      <c r="L88" s="109"/>
      <c r="M88" s="109"/>
    </row>
    <row r="89" spans="1:13" s="11" customFormat="1" x14ac:dyDescent="0.3">
      <c r="A89" s="67"/>
      <c r="B89" s="110" t="s">
        <v>16</v>
      </c>
      <c r="C89" s="67"/>
      <c r="D89" s="69"/>
      <c r="E89" s="69">
        <v>663.39592729999276</v>
      </c>
      <c r="F89" s="92">
        <v>1.8657536900345429E-2</v>
      </c>
      <c r="G89" s="92"/>
      <c r="H89" s="92"/>
      <c r="I89" s="72"/>
      <c r="J89" s="19"/>
      <c r="K89" s="109"/>
      <c r="L89" s="109"/>
      <c r="M89" s="109"/>
    </row>
    <row r="90" spans="1:13" s="11" customFormat="1" x14ac:dyDescent="0.3">
      <c r="A90" s="79"/>
      <c r="B90" s="110" t="s">
        <v>13</v>
      </c>
      <c r="C90" s="79"/>
      <c r="D90" s="80"/>
      <c r="E90" s="80">
        <f>E89</f>
        <v>663.39592729999276</v>
      </c>
      <c r="F90" s="111">
        <f>F89</f>
        <v>1.8657536900345429E-2</v>
      </c>
      <c r="G90" s="112"/>
      <c r="H90" s="113"/>
      <c r="I90" s="72"/>
      <c r="J90" s="19"/>
      <c r="K90" s="109"/>
      <c r="L90" s="109"/>
      <c r="M90" s="109"/>
    </row>
    <row r="91" spans="1:13" s="11" customFormat="1" x14ac:dyDescent="0.3">
      <c r="A91" s="114"/>
      <c r="B91" s="110" t="s">
        <v>56</v>
      </c>
      <c r="C91" s="114"/>
      <c r="D91" s="114"/>
      <c r="E91" s="80">
        <v>35556.458006399997</v>
      </c>
      <c r="F91" s="82">
        <v>1</v>
      </c>
      <c r="G91" s="115"/>
      <c r="H91" s="114"/>
      <c r="I91" s="72"/>
      <c r="J91" s="19"/>
      <c r="K91" s="109"/>
      <c r="L91" s="109"/>
      <c r="M91" s="109"/>
    </row>
    <row r="92" spans="1:13" s="11" customFormat="1" x14ac:dyDescent="0.3">
      <c r="A92" s="20"/>
      <c r="B92" s="59"/>
      <c r="C92" s="20"/>
      <c r="D92" s="20"/>
      <c r="E92" s="116"/>
      <c r="F92" s="117"/>
      <c r="G92" s="21"/>
      <c r="H92" s="20"/>
      <c r="I92" s="60"/>
      <c r="J92" s="6"/>
      <c r="K92" s="109"/>
      <c r="L92" s="109"/>
      <c r="M92" s="109"/>
    </row>
    <row r="93" spans="1:13" x14ac:dyDescent="0.3">
      <c r="A93" s="23" t="s">
        <v>120</v>
      </c>
      <c r="B93" s="30"/>
      <c r="C93" s="31"/>
      <c r="D93" s="30"/>
      <c r="E93" s="21"/>
      <c r="F93" s="20"/>
      <c r="G93" s="32"/>
      <c r="H93" s="20"/>
      <c r="I93" s="20"/>
      <c r="J93" s="20"/>
      <c r="K93" s="73"/>
      <c r="L93" s="73"/>
      <c r="M93" s="73"/>
    </row>
    <row r="94" spans="1:13" x14ac:dyDescent="0.3">
      <c r="A94" s="20" t="s">
        <v>121</v>
      </c>
      <c r="B94" s="30"/>
      <c r="C94" s="31"/>
      <c r="D94" s="30"/>
      <c r="E94" s="21"/>
      <c r="F94" s="20"/>
      <c r="G94" s="32"/>
      <c r="H94" s="20"/>
      <c r="I94" s="20"/>
      <c r="K94" s="73"/>
      <c r="L94" s="73"/>
      <c r="M94" s="73"/>
    </row>
    <row r="95" spans="1:13" x14ac:dyDescent="0.3">
      <c r="A95" s="33" t="s">
        <v>122</v>
      </c>
      <c r="B95" s="23" t="s">
        <v>57</v>
      </c>
      <c r="C95" s="34" t="s">
        <v>123</v>
      </c>
      <c r="D95" s="23" t="s">
        <v>124</v>
      </c>
      <c r="E95" s="21"/>
      <c r="F95" s="20"/>
      <c r="G95" s="32"/>
      <c r="H95" s="20"/>
      <c r="I95" s="20"/>
      <c r="K95" s="73"/>
      <c r="L95" s="73"/>
      <c r="M95" s="73"/>
    </row>
    <row r="96" spans="1:13" x14ac:dyDescent="0.3">
      <c r="A96" s="20" t="s">
        <v>226</v>
      </c>
      <c r="B96" s="20" t="s">
        <v>227</v>
      </c>
      <c r="C96" s="35" t="s">
        <v>119</v>
      </c>
      <c r="D96" s="35" t="s">
        <v>119</v>
      </c>
      <c r="E96" s="21"/>
      <c r="F96" s="20"/>
      <c r="G96" s="32"/>
      <c r="H96" s="20"/>
      <c r="I96" s="20"/>
      <c r="K96" s="73"/>
      <c r="L96" s="73"/>
      <c r="M96" s="73"/>
    </row>
    <row r="97" spans="1:13" x14ac:dyDescent="0.3">
      <c r="A97" s="20" t="s">
        <v>226</v>
      </c>
      <c r="B97" s="20" t="s">
        <v>228</v>
      </c>
      <c r="C97" s="35" t="s">
        <v>119</v>
      </c>
      <c r="D97" s="35" t="s">
        <v>119</v>
      </c>
      <c r="E97" s="21"/>
      <c r="F97" s="20"/>
      <c r="G97" s="32"/>
      <c r="H97" s="20"/>
      <c r="I97" s="20"/>
      <c r="K97" s="73"/>
      <c r="L97" s="73"/>
      <c r="M97" s="73"/>
    </row>
    <row r="98" spans="1:13" x14ac:dyDescent="0.3">
      <c r="A98" s="36"/>
      <c r="B98" s="36"/>
      <c r="C98" s="37"/>
      <c r="D98" s="29"/>
      <c r="E98" s="21"/>
      <c r="F98" s="20"/>
      <c r="G98" s="32"/>
      <c r="H98" s="20"/>
      <c r="I98" s="20"/>
      <c r="K98" s="73"/>
      <c r="L98" s="73"/>
      <c r="M98" s="73"/>
    </row>
    <row r="99" spans="1:13" x14ac:dyDescent="0.3">
      <c r="A99" s="20" t="s">
        <v>125</v>
      </c>
      <c r="B99" s="36"/>
      <c r="C99" s="37"/>
      <c r="D99" s="29"/>
      <c r="E99" s="21"/>
      <c r="F99" s="20"/>
      <c r="G99" s="32"/>
      <c r="H99" s="20"/>
      <c r="I99" s="20"/>
      <c r="K99" s="73"/>
      <c r="L99" s="73"/>
      <c r="M99" s="73"/>
    </row>
    <row r="100" spans="1:13" x14ac:dyDescent="0.3">
      <c r="A100" s="33" t="s">
        <v>122</v>
      </c>
      <c r="B100" s="23" t="s">
        <v>57</v>
      </c>
      <c r="C100" s="34" t="s">
        <v>123</v>
      </c>
      <c r="D100" s="38"/>
      <c r="E100" s="21"/>
      <c r="F100" s="20"/>
      <c r="G100" s="32"/>
      <c r="H100" s="20"/>
      <c r="I100" s="73"/>
      <c r="K100" s="73"/>
      <c r="L100" s="73"/>
      <c r="M100" s="73"/>
    </row>
    <row r="101" spans="1:13" x14ac:dyDescent="0.3">
      <c r="A101" s="20" t="s">
        <v>226</v>
      </c>
      <c r="B101" s="20" t="s">
        <v>227</v>
      </c>
      <c r="C101" s="29">
        <v>8291.1369863013697</v>
      </c>
      <c r="D101" s="29"/>
      <c r="E101" s="21"/>
      <c r="F101" s="20"/>
      <c r="G101" s="32"/>
      <c r="H101" s="20"/>
      <c r="I101" s="73"/>
      <c r="K101" s="73"/>
      <c r="L101" s="73"/>
      <c r="M101" s="73"/>
    </row>
    <row r="102" spans="1:13" x14ac:dyDescent="0.3">
      <c r="A102" s="20" t="s">
        <v>226</v>
      </c>
      <c r="B102" s="20" t="s">
        <v>228</v>
      </c>
      <c r="C102" s="29">
        <v>2763.7123287671234</v>
      </c>
      <c r="D102" s="29"/>
      <c r="E102" s="21"/>
      <c r="F102" s="20"/>
      <c r="G102" s="32"/>
      <c r="H102" s="20"/>
      <c r="I102" s="73"/>
      <c r="K102" s="73"/>
      <c r="L102" s="73"/>
      <c r="M102" s="73"/>
    </row>
    <row r="103" spans="1:13" x14ac:dyDescent="0.3">
      <c r="A103" s="20"/>
      <c r="B103" s="30"/>
      <c r="C103" s="31"/>
      <c r="D103" s="39"/>
      <c r="E103" s="21"/>
      <c r="F103" s="20"/>
      <c r="G103" s="32"/>
      <c r="H103" s="20"/>
      <c r="I103" s="73"/>
      <c r="K103" s="73"/>
      <c r="L103" s="73"/>
      <c r="M103" s="73"/>
    </row>
    <row r="104" spans="1:13" x14ac:dyDescent="0.3">
      <c r="A104" s="20"/>
      <c r="B104" s="40"/>
      <c r="C104" s="41" t="s">
        <v>126</v>
      </c>
      <c r="D104" s="41" t="s">
        <v>126</v>
      </c>
      <c r="E104" s="40"/>
      <c r="F104" s="20"/>
      <c r="G104" s="32"/>
      <c r="H104" s="20"/>
      <c r="I104" s="73"/>
      <c r="K104" s="73"/>
      <c r="L104" s="73"/>
      <c r="M104" s="73"/>
    </row>
    <row r="105" spans="1:13" x14ac:dyDescent="0.3">
      <c r="A105" s="125" t="s">
        <v>127</v>
      </c>
      <c r="B105" s="125"/>
      <c r="C105" s="42">
        <v>46295</v>
      </c>
      <c r="D105" s="42">
        <v>46265</v>
      </c>
      <c r="E105" s="42"/>
      <c r="F105" s="20"/>
      <c r="G105" s="32"/>
      <c r="H105" s="20"/>
      <c r="I105" s="73"/>
      <c r="K105" s="73"/>
      <c r="L105" s="73"/>
      <c r="M105" s="73"/>
    </row>
    <row r="106" spans="1:13" x14ac:dyDescent="0.3">
      <c r="A106" s="20" t="s">
        <v>128</v>
      </c>
      <c r="B106" s="40"/>
      <c r="C106" s="35">
        <v>28.4374</v>
      </c>
      <c r="D106" s="35">
        <v>30.307700000000001</v>
      </c>
      <c r="E106" s="43"/>
      <c r="F106" s="44"/>
      <c r="G106" s="45"/>
      <c r="H106" s="20"/>
      <c r="I106" s="73"/>
      <c r="K106" s="73"/>
      <c r="L106" s="73"/>
      <c r="M106" s="73"/>
    </row>
    <row r="107" spans="1:13" x14ac:dyDescent="0.3">
      <c r="A107" s="20" t="s">
        <v>129</v>
      </c>
      <c r="B107" s="40"/>
      <c r="C107" s="35">
        <v>146.49109999999999</v>
      </c>
      <c r="D107" s="35">
        <v>156.12569999999999</v>
      </c>
      <c r="E107" s="43"/>
      <c r="F107" s="44"/>
      <c r="G107" s="45"/>
      <c r="H107" s="20"/>
      <c r="I107" s="73"/>
      <c r="K107" s="73"/>
      <c r="L107" s="73"/>
      <c r="M107" s="73"/>
    </row>
    <row r="108" spans="1:13" x14ac:dyDescent="0.3">
      <c r="A108" s="20" t="s">
        <v>130</v>
      </c>
      <c r="B108" s="40"/>
      <c r="C108" s="35">
        <v>22.761900000000001</v>
      </c>
      <c r="D108" s="35">
        <v>24.259</v>
      </c>
      <c r="E108" s="43"/>
      <c r="F108" s="44"/>
      <c r="G108" s="45"/>
      <c r="H108" s="20"/>
      <c r="I108" s="73"/>
      <c r="K108" s="73"/>
      <c r="L108" s="73"/>
      <c r="M108" s="73"/>
    </row>
    <row r="109" spans="1:13" x14ac:dyDescent="0.3">
      <c r="A109" s="20" t="s">
        <v>131</v>
      </c>
      <c r="B109" s="40"/>
      <c r="C109" s="35">
        <v>33.058999999999997</v>
      </c>
      <c r="D109" s="35">
        <v>35.2333</v>
      </c>
      <c r="E109" s="43"/>
      <c r="F109" s="44"/>
      <c r="G109" s="45"/>
      <c r="H109" s="20"/>
      <c r="I109" s="73"/>
      <c r="K109" s="73"/>
      <c r="L109" s="73"/>
      <c r="M109" s="73"/>
    </row>
    <row r="110" spans="1:13" x14ac:dyDescent="0.3">
      <c r="A110" s="20" t="s">
        <v>132</v>
      </c>
      <c r="B110" s="40"/>
      <c r="C110" s="35">
        <v>24.014500000000002</v>
      </c>
      <c r="D110" s="35">
        <v>25.593900000000001</v>
      </c>
      <c r="E110" s="43"/>
      <c r="F110" s="44"/>
      <c r="G110" s="45"/>
      <c r="H110" s="20"/>
      <c r="I110" s="73"/>
      <c r="K110" s="73"/>
      <c r="L110" s="73"/>
      <c r="M110" s="73"/>
    </row>
    <row r="111" spans="1:13" x14ac:dyDescent="0.3">
      <c r="A111" s="20" t="s">
        <v>133</v>
      </c>
      <c r="B111" s="40"/>
      <c r="C111" s="35">
        <v>29.242899999999999</v>
      </c>
      <c r="D111" s="35">
        <v>31.1662</v>
      </c>
      <c r="E111" s="43"/>
      <c r="F111" s="44"/>
      <c r="G111" s="45"/>
      <c r="H111" s="20"/>
      <c r="I111" s="73"/>
      <c r="K111" s="73"/>
      <c r="L111" s="73"/>
      <c r="M111" s="73"/>
    </row>
    <row r="112" spans="1:13" x14ac:dyDescent="0.3">
      <c r="A112" s="20" t="s">
        <v>134</v>
      </c>
      <c r="B112" s="40"/>
      <c r="C112" s="35">
        <v>68.540499999999994</v>
      </c>
      <c r="D112" s="35">
        <v>72.959299999999999</v>
      </c>
      <c r="E112" s="43"/>
      <c r="F112" s="44"/>
      <c r="G112" s="45"/>
      <c r="H112" s="20"/>
      <c r="I112" s="73"/>
      <c r="K112" s="73"/>
      <c r="L112" s="73"/>
      <c r="M112" s="73"/>
    </row>
    <row r="113" spans="1:13" x14ac:dyDescent="0.3">
      <c r="A113" s="20" t="s">
        <v>135</v>
      </c>
      <c r="B113" s="40"/>
      <c r="C113" s="35">
        <v>170.71610000000001</v>
      </c>
      <c r="D113" s="35">
        <v>181.72210000000001</v>
      </c>
      <c r="E113" s="43"/>
      <c r="F113" s="44"/>
      <c r="G113" s="45"/>
      <c r="H113" s="20"/>
      <c r="I113" s="73"/>
      <c r="K113" s="73"/>
      <c r="L113" s="73"/>
      <c r="M113" s="73"/>
    </row>
    <row r="114" spans="1:13" x14ac:dyDescent="0.3">
      <c r="A114" s="20" t="s">
        <v>136</v>
      </c>
      <c r="B114" s="40"/>
      <c r="C114" s="35">
        <v>69.683800000000005</v>
      </c>
      <c r="D114" s="35">
        <v>74.176299999999998</v>
      </c>
      <c r="E114" s="43"/>
      <c r="F114" s="44"/>
      <c r="G114" s="45"/>
      <c r="H114" s="20"/>
      <c r="I114" s="73"/>
      <c r="K114" s="73"/>
      <c r="L114" s="73"/>
      <c r="M114" s="73"/>
    </row>
    <row r="115" spans="1:13" x14ac:dyDescent="0.3">
      <c r="A115" s="20" t="s">
        <v>137</v>
      </c>
      <c r="B115" s="40"/>
      <c r="C115" s="35">
        <v>70.333600000000004</v>
      </c>
      <c r="D115" s="35">
        <v>74.867999999999995</v>
      </c>
      <c r="E115" s="43"/>
      <c r="F115" s="44"/>
      <c r="G115" s="45"/>
      <c r="H115" s="20"/>
      <c r="I115" s="73"/>
      <c r="K115" s="73"/>
      <c r="L115" s="73"/>
      <c r="M115" s="73"/>
    </row>
    <row r="116" spans="1:13" x14ac:dyDescent="0.3">
      <c r="A116" s="20" t="s">
        <v>138</v>
      </c>
      <c r="B116" s="40"/>
      <c r="C116" s="35">
        <v>69.829499999999996</v>
      </c>
      <c r="D116" s="35">
        <v>74.331400000000002</v>
      </c>
      <c r="E116" s="43"/>
      <c r="F116" s="44"/>
      <c r="G116" s="45"/>
      <c r="H116" s="20"/>
      <c r="I116" s="73"/>
      <c r="K116" s="73"/>
      <c r="L116" s="73"/>
      <c r="M116" s="73"/>
    </row>
    <row r="117" spans="1:13" x14ac:dyDescent="0.3">
      <c r="A117" s="20" t="s">
        <v>139</v>
      </c>
      <c r="B117" s="40"/>
      <c r="C117" s="35">
        <v>70.320999999999998</v>
      </c>
      <c r="D117" s="35">
        <v>74.854600000000005</v>
      </c>
      <c r="E117" s="43"/>
      <c r="F117" s="44"/>
      <c r="G117" s="45"/>
      <c r="H117" s="20"/>
      <c r="I117" s="73"/>
      <c r="K117" s="73"/>
      <c r="L117" s="73"/>
      <c r="M117" s="73"/>
    </row>
    <row r="118" spans="1:13" x14ac:dyDescent="0.3">
      <c r="A118" s="20"/>
      <c r="B118" s="40"/>
      <c r="C118" s="31"/>
      <c r="D118" s="39"/>
      <c r="E118" s="21"/>
      <c r="F118" s="20"/>
      <c r="G118" s="32"/>
      <c r="H118" s="20"/>
      <c r="I118" s="73"/>
      <c r="K118" s="73"/>
      <c r="L118" s="73"/>
      <c r="M118" s="73"/>
    </row>
    <row r="119" spans="1:13" x14ac:dyDescent="0.3">
      <c r="A119" s="125" t="s">
        <v>225</v>
      </c>
      <c r="B119" s="125"/>
      <c r="C119" s="20"/>
      <c r="D119" s="39"/>
      <c r="E119" s="21"/>
      <c r="F119" s="20"/>
      <c r="G119" s="32"/>
      <c r="H119" s="20"/>
      <c r="I119" s="73"/>
      <c r="K119" s="73"/>
      <c r="L119" s="73"/>
      <c r="M119" s="73"/>
    </row>
    <row r="120" spans="1:13" x14ac:dyDescent="0.3">
      <c r="A120" s="20" t="s">
        <v>140</v>
      </c>
      <c r="B120" s="40" t="s">
        <v>141</v>
      </c>
      <c r="C120" s="46" t="s">
        <v>12</v>
      </c>
      <c r="D120" s="39"/>
      <c r="E120" s="21"/>
      <c r="F120" s="20"/>
      <c r="G120" s="32"/>
      <c r="H120" s="20"/>
      <c r="I120" s="73"/>
      <c r="K120" s="73"/>
      <c r="L120" s="73"/>
      <c r="M120" s="73"/>
    </row>
    <row r="121" spans="1:13" x14ac:dyDescent="0.3">
      <c r="A121" s="20" t="s">
        <v>130</v>
      </c>
      <c r="B121" s="40" t="s">
        <v>141</v>
      </c>
      <c r="C121" s="46" t="s">
        <v>12</v>
      </c>
      <c r="D121" s="39"/>
      <c r="E121" s="21"/>
      <c r="F121" s="20"/>
      <c r="G121" s="32"/>
      <c r="H121" s="20"/>
      <c r="I121" s="73"/>
      <c r="K121" s="73"/>
      <c r="L121" s="73"/>
      <c r="M121" s="73"/>
    </row>
    <row r="122" spans="1:13" x14ac:dyDescent="0.3">
      <c r="A122" s="20" t="s">
        <v>131</v>
      </c>
      <c r="B122" s="40" t="s">
        <v>141</v>
      </c>
      <c r="C122" s="46" t="s">
        <v>12</v>
      </c>
      <c r="D122" s="39"/>
      <c r="E122" s="21"/>
      <c r="F122" s="20"/>
      <c r="G122" s="32"/>
      <c r="H122" s="20"/>
      <c r="I122" s="73"/>
      <c r="K122" s="73"/>
      <c r="L122" s="73"/>
      <c r="M122" s="73"/>
    </row>
    <row r="123" spans="1:13" x14ac:dyDescent="0.3">
      <c r="A123" s="20" t="s">
        <v>132</v>
      </c>
      <c r="B123" s="40" t="s">
        <v>141</v>
      </c>
      <c r="C123" s="46" t="s">
        <v>12</v>
      </c>
      <c r="D123" s="39"/>
      <c r="E123" s="21"/>
      <c r="F123" s="20"/>
      <c r="G123" s="32"/>
      <c r="H123" s="20"/>
      <c r="I123" s="73"/>
      <c r="K123" s="73"/>
      <c r="L123" s="73"/>
      <c r="M123" s="73"/>
    </row>
    <row r="124" spans="1:13" x14ac:dyDescent="0.3">
      <c r="A124" s="20" t="s">
        <v>133</v>
      </c>
      <c r="B124" s="40" t="s">
        <v>141</v>
      </c>
      <c r="C124" s="46" t="s">
        <v>12</v>
      </c>
      <c r="D124" s="39"/>
      <c r="E124" s="21"/>
      <c r="F124" s="20"/>
      <c r="G124" s="32"/>
      <c r="H124" s="20"/>
      <c r="I124" s="73"/>
      <c r="K124" s="73"/>
      <c r="L124" s="73"/>
      <c r="M124" s="73"/>
    </row>
    <row r="125" spans="1:13" x14ac:dyDescent="0.3">
      <c r="A125" s="20" t="s">
        <v>134</v>
      </c>
      <c r="B125" s="40" t="s">
        <v>141</v>
      </c>
      <c r="C125" s="46" t="s">
        <v>12</v>
      </c>
      <c r="D125" s="39"/>
      <c r="E125" s="21"/>
      <c r="F125" s="20"/>
      <c r="G125" s="32"/>
      <c r="H125" s="20"/>
      <c r="I125" s="73"/>
      <c r="K125" s="73"/>
      <c r="L125" s="73"/>
      <c r="M125" s="73"/>
    </row>
    <row r="126" spans="1:13" x14ac:dyDescent="0.3">
      <c r="A126" s="20" t="s">
        <v>142</v>
      </c>
      <c r="B126" s="40" t="s">
        <v>141</v>
      </c>
      <c r="C126" s="46" t="s">
        <v>12</v>
      </c>
      <c r="D126" s="39"/>
      <c r="E126" s="21"/>
      <c r="F126" s="20"/>
      <c r="G126" s="32"/>
      <c r="H126" s="20"/>
      <c r="I126" s="73"/>
      <c r="K126" s="73"/>
      <c r="L126" s="73"/>
      <c r="M126" s="73"/>
    </row>
    <row r="127" spans="1:13" x14ac:dyDescent="0.3">
      <c r="A127" s="20" t="s">
        <v>137</v>
      </c>
      <c r="B127" s="40" t="s">
        <v>141</v>
      </c>
      <c r="C127" s="46" t="s">
        <v>12</v>
      </c>
      <c r="D127" s="39"/>
      <c r="E127" s="21"/>
      <c r="F127" s="20"/>
      <c r="G127" s="32"/>
      <c r="H127" s="20"/>
      <c r="I127" s="73"/>
      <c r="K127" s="73"/>
      <c r="L127" s="73"/>
      <c r="M127" s="73"/>
    </row>
    <row r="128" spans="1:13" x14ac:dyDescent="0.3">
      <c r="A128" s="20" t="s">
        <v>138</v>
      </c>
      <c r="B128" s="40" t="s">
        <v>141</v>
      </c>
      <c r="C128" s="46" t="s">
        <v>12</v>
      </c>
      <c r="D128" s="39"/>
      <c r="E128" s="21"/>
      <c r="F128" s="20"/>
      <c r="G128" s="32"/>
      <c r="H128" s="20"/>
      <c r="I128" s="73"/>
      <c r="K128" s="73"/>
      <c r="L128" s="73"/>
      <c r="M128" s="73"/>
    </row>
    <row r="129" spans="1:13" x14ac:dyDescent="0.3">
      <c r="A129" s="20" t="s">
        <v>139</v>
      </c>
      <c r="B129" s="40" t="s">
        <v>141</v>
      </c>
      <c r="C129" s="46" t="s">
        <v>12</v>
      </c>
      <c r="D129" s="39"/>
      <c r="E129" s="21"/>
      <c r="F129" s="20"/>
      <c r="G129" s="32"/>
      <c r="H129" s="20"/>
      <c r="I129" s="73"/>
      <c r="K129" s="73"/>
      <c r="L129" s="73"/>
      <c r="M129" s="73"/>
    </row>
    <row r="130" spans="1:13" x14ac:dyDescent="0.3">
      <c r="A130" s="20"/>
      <c r="B130" s="30"/>
      <c r="C130" s="47"/>
      <c r="D130" s="48"/>
      <c r="E130" s="21"/>
      <c r="F130" s="20"/>
      <c r="G130" s="32"/>
      <c r="H130" s="20"/>
      <c r="I130" s="73"/>
      <c r="K130" s="73"/>
      <c r="L130" s="73"/>
      <c r="M130" s="73"/>
    </row>
    <row r="131" spans="1:13" x14ac:dyDescent="0.3">
      <c r="A131" s="20" t="s">
        <v>143</v>
      </c>
      <c r="B131" s="30"/>
      <c r="C131" s="49"/>
      <c r="D131" s="50"/>
      <c r="E131" s="21"/>
      <c r="F131" s="20"/>
      <c r="G131" s="32"/>
      <c r="H131" s="20"/>
      <c r="I131" s="73"/>
      <c r="K131" s="73"/>
      <c r="L131" s="73"/>
      <c r="M131" s="73"/>
    </row>
    <row r="132" spans="1:13" x14ac:dyDescent="0.3">
      <c r="A132" s="20"/>
      <c r="B132" s="30"/>
      <c r="C132" s="49"/>
      <c r="D132" s="29"/>
      <c r="E132" s="21"/>
      <c r="F132" s="20"/>
      <c r="G132" s="32"/>
      <c r="H132" s="20"/>
      <c r="I132" s="73"/>
      <c r="K132" s="73"/>
      <c r="L132" s="73"/>
      <c r="M132" s="73"/>
    </row>
    <row r="133" spans="1:13" x14ac:dyDescent="0.3">
      <c r="A133" s="20" t="s">
        <v>144</v>
      </c>
      <c r="B133" s="30"/>
      <c r="C133" s="49"/>
      <c r="D133" s="20"/>
      <c r="E133" s="21"/>
      <c r="F133" s="20"/>
      <c r="G133" s="32"/>
      <c r="H133" s="20"/>
      <c r="I133" s="73"/>
      <c r="K133" s="73"/>
      <c r="L133" s="73"/>
      <c r="M133" s="73"/>
    </row>
    <row r="134" spans="1:13" x14ac:dyDescent="0.3">
      <c r="A134" s="20"/>
      <c r="B134" s="30"/>
      <c r="C134" s="49"/>
      <c r="D134" s="29"/>
      <c r="E134" s="21"/>
      <c r="F134" s="20"/>
      <c r="G134" s="32"/>
      <c r="H134" s="20"/>
      <c r="I134" s="73"/>
      <c r="K134" s="73"/>
      <c r="L134" s="73"/>
      <c r="M134" s="73"/>
    </row>
    <row r="135" spans="1:13" x14ac:dyDescent="0.3">
      <c r="A135" s="20" t="s">
        <v>232</v>
      </c>
      <c r="B135" s="30"/>
      <c r="C135" s="51"/>
      <c r="D135" s="29"/>
      <c r="E135" s="21"/>
      <c r="F135" s="20"/>
      <c r="G135" s="32"/>
      <c r="H135" s="20"/>
      <c r="I135" s="73"/>
      <c r="K135" s="73"/>
      <c r="L135" s="73"/>
      <c r="M135" s="73"/>
    </row>
    <row r="136" spans="1:13" x14ac:dyDescent="0.3">
      <c r="A136" s="20"/>
      <c r="B136" s="30"/>
      <c r="C136" s="49"/>
      <c r="D136" s="20"/>
      <c r="E136" s="21"/>
      <c r="F136" s="20"/>
      <c r="G136" s="32"/>
      <c r="H136" s="20"/>
      <c r="I136" s="73"/>
      <c r="K136" s="73"/>
      <c r="L136" s="73"/>
      <c r="M136" s="73"/>
    </row>
    <row r="137" spans="1:13" x14ac:dyDescent="0.3">
      <c r="A137" s="20" t="s">
        <v>145</v>
      </c>
      <c r="B137" s="30"/>
      <c r="C137" s="49"/>
      <c r="D137" s="20"/>
      <c r="E137" s="21"/>
      <c r="F137" s="20"/>
      <c r="G137" s="32"/>
      <c r="H137" s="20"/>
      <c r="I137" s="73"/>
      <c r="K137" s="73"/>
      <c r="L137" s="73"/>
      <c r="M137" s="73"/>
    </row>
    <row r="138" spans="1:13" x14ac:dyDescent="0.3">
      <c r="A138" s="20"/>
      <c r="B138" s="30"/>
      <c r="C138" s="49"/>
      <c r="D138" s="20"/>
      <c r="E138" s="21"/>
      <c r="F138" s="20"/>
      <c r="G138" s="32"/>
      <c r="H138" s="20"/>
      <c r="I138" s="73"/>
      <c r="K138" s="73"/>
      <c r="L138" s="73"/>
      <c r="M138" s="73"/>
    </row>
    <row r="139" spans="1:13" x14ac:dyDescent="0.3">
      <c r="A139" s="20" t="s">
        <v>146</v>
      </c>
      <c r="B139" s="30"/>
      <c r="C139" s="49"/>
      <c r="D139" s="29"/>
      <c r="E139" s="21"/>
      <c r="F139" s="20"/>
      <c r="G139" s="32"/>
      <c r="H139" s="20"/>
      <c r="I139" s="73"/>
      <c r="K139" s="73"/>
      <c r="L139" s="73"/>
      <c r="M139" s="73"/>
    </row>
    <row r="140" spans="1:13" x14ac:dyDescent="0.3">
      <c r="A140" s="20"/>
      <c r="B140" s="30"/>
      <c r="C140" s="49"/>
      <c r="D140" s="20"/>
      <c r="E140" s="21"/>
      <c r="F140" s="20"/>
      <c r="G140" s="32"/>
      <c r="H140" s="20"/>
      <c r="I140" s="73"/>
      <c r="K140" s="73"/>
      <c r="L140" s="73"/>
      <c r="M140" s="73"/>
    </row>
    <row r="141" spans="1:13" x14ac:dyDescent="0.3">
      <c r="A141" s="20" t="s">
        <v>147</v>
      </c>
      <c r="B141" s="30"/>
      <c r="C141" s="49"/>
      <c r="D141" s="20"/>
      <c r="E141" s="21"/>
      <c r="F141" s="20"/>
      <c r="G141" s="32"/>
      <c r="H141" s="20"/>
      <c r="I141" s="73"/>
      <c r="K141" s="73"/>
      <c r="L141" s="73"/>
      <c r="M141" s="73"/>
    </row>
    <row r="142" spans="1:13" x14ac:dyDescent="0.3">
      <c r="A142" s="20"/>
      <c r="B142" s="30"/>
      <c r="C142" s="49"/>
      <c r="D142" s="20"/>
      <c r="E142" s="21"/>
      <c r="F142" s="20"/>
      <c r="G142" s="32"/>
      <c r="H142" s="20"/>
      <c r="I142" s="73"/>
      <c r="K142" s="73"/>
      <c r="L142" s="73"/>
      <c r="M142" s="73"/>
    </row>
    <row r="143" spans="1:13" x14ac:dyDescent="0.3">
      <c r="A143" s="20" t="s">
        <v>148</v>
      </c>
      <c r="B143" s="30"/>
      <c r="C143" s="49"/>
      <c r="D143" s="20"/>
      <c r="E143" s="21"/>
      <c r="F143" s="20"/>
      <c r="G143" s="32"/>
      <c r="H143" s="12"/>
      <c r="I143" s="73"/>
      <c r="K143" s="73"/>
      <c r="L143" s="73"/>
      <c r="M143" s="73"/>
    </row>
    <row r="144" spans="1:13" x14ac:dyDescent="0.3">
      <c r="A144" s="20"/>
      <c r="B144" s="30"/>
      <c r="C144" s="49"/>
      <c r="D144" s="20"/>
      <c r="E144" s="21"/>
      <c r="F144" s="20"/>
      <c r="G144" s="32"/>
      <c r="H144" s="12"/>
      <c r="I144" s="73"/>
      <c r="K144" s="73"/>
      <c r="L144" s="73"/>
      <c r="M144" s="73"/>
    </row>
    <row r="145" spans="1:13" x14ac:dyDescent="0.3">
      <c r="A145" s="12" t="s">
        <v>8</v>
      </c>
      <c r="B145" s="12"/>
      <c r="C145" s="12"/>
      <c r="D145" s="12"/>
      <c r="E145" s="12"/>
      <c r="F145" s="12"/>
      <c r="G145" s="12"/>
      <c r="H145" s="12"/>
      <c r="I145" s="20"/>
      <c r="K145" s="73"/>
      <c r="L145" s="73"/>
      <c r="M145" s="73"/>
    </row>
    <row r="146" spans="1:13" x14ac:dyDescent="0.3">
      <c r="A146" s="12" t="s">
        <v>7</v>
      </c>
      <c r="B146" s="12"/>
      <c r="C146" s="12"/>
      <c r="D146" s="12"/>
      <c r="E146" s="12"/>
      <c r="F146" s="12"/>
      <c r="G146" s="12"/>
      <c r="H146" s="12"/>
      <c r="I146" s="20"/>
      <c r="K146" s="73"/>
      <c r="L146" s="73"/>
      <c r="M146" s="73"/>
    </row>
    <row r="147" spans="1:13" x14ac:dyDescent="0.3">
      <c r="A147" s="13" t="s">
        <v>6</v>
      </c>
      <c r="B147" s="13"/>
      <c r="C147" s="13"/>
      <c r="D147" s="13"/>
      <c r="E147" s="13"/>
      <c r="F147" s="13"/>
      <c r="G147" s="14"/>
      <c r="H147" s="14"/>
      <c r="I147" s="20"/>
      <c r="K147" s="73"/>
      <c r="L147" s="73"/>
      <c r="M147" s="73"/>
    </row>
    <row r="148" spans="1:13" x14ac:dyDescent="0.3">
      <c r="A148" s="129" t="s">
        <v>5</v>
      </c>
      <c r="B148" s="130"/>
      <c r="C148" s="130"/>
      <c r="D148" s="130"/>
      <c r="E148" s="130"/>
      <c r="F148" s="130"/>
      <c r="G148" s="130"/>
      <c r="H148" s="130"/>
      <c r="I148" s="130"/>
      <c r="K148" s="73"/>
      <c r="L148" s="73"/>
      <c r="M148" s="73"/>
    </row>
    <row r="149" spans="1:13" ht="27" customHeight="1" x14ac:dyDescent="0.3">
      <c r="A149" s="130"/>
      <c r="B149" s="130"/>
      <c r="C149" s="130"/>
      <c r="D149" s="130"/>
      <c r="E149" s="130"/>
      <c r="F149" s="130"/>
      <c r="G149" s="130"/>
      <c r="H149" s="130"/>
      <c r="I149" s="130"/>
      <c r="K149" s="73"/>
      <c r="L149" s="73"/>
      <c r="M149" s="73"/>
    </row>
    <row r="150" spans="1:13" x14ac:dyDescent="0.3">
      <c r="A150" s="20"/>
      <c r="B150" s="20"/>
      <c r="C150" s="20"/>
      <c r="D150" s="20"/>
      <c r="E150" s="20"/>
      <c r="F150" s="20"/>
      <c r="G150" s="20"/>
      <c r="H150" s="20"/>
      <c r="I150" s="20"/>
      <c r="K150" s="73"/>
      <c r="L150" s="73"/>
      <c r="M150" s="73"/>
    </row>
    <row r="151" spans="1:13" x14ac:dyDescent="0.3">
      <c r="A151" s="53" t="s">
        <v>170</v>
      </c>
      <c r="B151" s="54" t="s">
        <v>171</v>
      </c>
      <c r="C151" s="55" t="s">
        <v>9</v>
      </c>
      <c r="D151" s="53" t="s">
        <v>172</v>
      </c>
      <c r="E151" s="53" t="s">
        <v>173</v>
      </c>
      <c r="F151" s="53" t="s">
        <v>174</v>
      </c>
      <c r="G151" s="20"/>
      <c r="H151" s="20"/>
      <c r="I151" s="20"/>
      <c r="K151" s="73"/>
      <c r="L151" s="73"/>
      <c r="M151" s="73"/>
    </row>
    <row r="152" spans="1:13" x14ac:dyDescent="0.3">
      <c r="A152" s="118" t="s">
        <v>207</v>
      </c>
      <c r="B152" s="56" t="s">
        <v>224</v>
      </c>
      <c r="C152" s="57">
        <v>1320</v>
      </c>
      <c r="D152" s="57">
        <v>57006.399946999998</v>
      </c>
      <c r="E152" s="57">
        <v>55006</v>
      </c>
      <c r="F152" s="58">
        <v>82.133567999999997</v>
      </c>
      <c r="G152" s="20"/>
      <c r="H152" s="20"/>
      <c r="I152" s="20"/>
      <c r="K152" s="73"/>
      <c r="L152" s="73"/>
      <c r="M152" s="73"/>
    </row>
    <row r="153" spans="1:13" x14ac:dyDescent="0.3">
      <c r="A153" s="118" t="s">
        <v>221</v>
      </c>
      <c r="B153" s="56" t="s">
        <v>224</v>
      </c>
      <c r="C153" s="57">
        <v>30000</v>
      </c>
      <c r="D153" s="57">
        <v>1257.9083000000001</v>
      </c>
      <c r="E153" s="57">
        <v>1191.8</v>
      </c>
      <c r="F153" s="58">
        <v>63.423900000000003</v>
      </c>
      <c r="G153" s="20"/>
      <c r="H153" s="20"/>
      <c r="I153" s="20"/>
      <c r="K153" s="73"/>
      <c r="L153" s="73"/>
      <c r="M153" s="73"/>
    </row>
    <row r="154" spans="1:13" x14ac:dyDescent="0.3">
      <c r="A154" s="20"/>
      <c r="B154" s="20"/>
      <c r="C154" s="20"/>
      <c r="D154" s="20"/>
      <c r="E154" s="20"/>
      <c r="F154" s="20"/>
      <c r="G154" s="20"/>
      <c r="H154" s="20"/>
      <c r="I154" s="20"/>
      <c r="K154" s="73"/>
      <c r="L154" s="73"/>
      <c r="M154" s="73"/>
    </row>
    <row r="155" spans="1:13" x14ac:dyDescent="0.3">
      <c r="A155" s="133" t="s">
        <v>231</v>
      </c>
      <c r="B155" s="134"/>
      <c r="C155" s="134"/>
      <c r="D155" s="134"/>
      <c r="E155" s="20"/>
      <c r="F155" s="20"/>
      <c r="G155" s="20"/>
      <c r="H155" s="20"/>
      <c r="I155" s="20"/>
      <c r="K155" s="73"/>
      <c r="L155" s="73"/>
      <c r="M155" s="73"/>
    </row>
    <row r="156" spans="1:13" x14ac:dyDescent="0.3">
      <c r="A156" s="134"/>
      <c r="B156" s="134"/>
      <c r="C156" s="134"/>
      <c r="D156" s="134"/>
      <c r="E156" s="20"/>
      <c r="F156" s="20"/>
      <c r="G156" s="20"/>
      <c r="H156" s="20"/>
      <c r="I156" s="20"/>
      <c r="K156" s="73"/>
      <c r="L156" s="73"/>
      <c r="M156" s="73"/>
    </row>
    <row r="157" spans="1:13" x14ac:dyDescent="0.3">
      <c r="A157" s="135"/>
      <c r="B157" s="135"/>
      <c r="C157" s="136"/>
      <c r="D157" s="137"/>
      <c r="E157" s="20"/>
      <c r="F157" s="20"/>
      <c r="G157" s="20"/>
      <c r="H157" s="20"/>
      <c r="I157" s="20"/>
      <c r="K157" s="73"/>
      <c r="L157" s="73"/>
      <c r="M157" s="73"/>
    </row>
    <row r="158" spans="1:13" x14ac:dyDescent="0.3">
      <c r="A158" s="138" t="s">
        <v>230</v>
      </c>
      <c r="B158" s="138"/>
      <c r="C158" s="139"/>
      <c r="D158" s="140"/>
      <c r="E158" s="29"/>
      <c r="F158" s="20"/>
      <c r="G158" s="20"/>
      <c r="H158" s="20"/>
      <c r="I158" s="20"/>
      <c r="K158" s="73"/>
      <c r="L158" s="73"/>
      <c r="M158" s="73"/>
    </row>
    <row r="159" spans="1:13" x14ac:dyDescent="0.3">
      <c r="A159" s="141" t="s">
        <v>222</v>
      </c>
      <c r="B159" s="141"/>
      <c r="C159" s="141"/>
      <c r="D159" s="141"/>
      <c r="E159" s="20"/>
      <c r="F159" s="20"/>
      <c r="G159" s="20"/>
      <c r="H159" s="20"/>
      <c r="I159" s="20"/>
      <c r="K159" s="73"/>
      <c r="L159" s="73"/>
      <c r="M159" s="73"/>
    </row>
    <row r="160" spans="1:13" x14ac:dyDescent="0.3">
      <c r="A160" s="142" t="s">
        <v>114</v>
      </c>
      <c r="B160" s="143"/>
      <c r="C160" s="144"/>
      <c r="D160" s="145" t="s">
        <v>119</v>
      </c>
      <c r="E160" s="29"/>
      <c r="F160" s="20"/>
      <c r="G160" s="20"/>
      <c r="H160" s="20"/>
      <c r="I160" s="20"/>
      <c r="K160" s="73"/>
      <c r="L160" s="73"/>
      <c r="M160" s="73"/>
    </row>
    <row r="161" spans="1:13" x14ac:dyDescent="0.3">
      <c r="A161" s="142" t="s">
        <v>115</v>
      </c>
      <c r="B161" s="143"/>
      <c r="C161" s="144"/>
      <c r="D161" s="145" t="s">
        <v>119</v>
      </c>
      <c r="E161" s="29"/>
      <c r="F161" s="20"/>
      <c r="G161" s="20"/>
      <c r="H161" s="20"/>
      <c r="I161" s="20"/>
      <c r="K161" s="73"/>
      <c r="L161" s="73"/>
      <c r="M161" s="73"/>
    </row>
    <row r="162" spans="1:13" x14ac:dyDescent="0.3">
      <c r="A162" s="142" t="s">
        <v>116</v>
      </c>
      <c r="B162" s="143"/>
      <c r="C162" s="144"/>
      <c r="D162" s="145" t="s">
        <v>119</v>
      </c>
      <c r="E162" s="29"/>
      <c r="F162" s="29"/>
      <c r="G162" s="20"/>
      <c r="H162" s="20"/>
      <c r="I162" s="20"/>
      <c r="K162" s="73"/>
      <c r="L162" s="73"/>
      <c r="M162" s="73"/>
    </row>
    <row r="163" spans="1:13" x14ac:dyDescent="0.3">
      <c r="A163" s="142" t="s">
        <v>117</v>
      </c>
      <c r="B163" s="143"/>
      <c r="C163" s="144"/>
      <c r="D163" s="145" t="s">
        <v>119</v>
      </c>
      <c r="E163" s="29"/>
      <c r="F163" s="29"/>
      <c r="G163" s="20"/>
      <c r="H163" s="20"/>
      <c r="I163" s="20"/>
      <c r="K163" s="73"/>
      <c r="L163" s="73"/>
      <c r="M163" s="73"/>
    </row>
    <row r="164" spans="1:13" x14ac:dyDescent="0.3">
      <c r="A164" s="142" t="s">
        <v>118</v>
      </c>
      <c r="B164" s="143"/>
      <c r="C164" s="144"/>
      <c r="D164" s="145" t="s">
        <v>119</v>
      </c>
      <c r="E164" s="20"/>
      <c r="F164" s="20"/>
      <c r="G164" s="20"/>
      <c r="H164" s="20"/>
      <c r="I164" s="20"/>
      <c r="K164" s="73"/>
      <c r="L164" s="73"/>
      <c r="M164" s="73"/>
    </row>
    <row r="165" spans="1:13" x14ac:dyDescent="0.3">
      <c r="A165" s="134"/>
      <c r="B165" s="134"/>
      <c r="C165" s="134"/>
      <c r="D165" s="134"/>
      <c r="E165" s="20"/>
      <c r="F165" s="20"/>
      <c r="G165" s="20"/>
      <c r="H165" s="20"/>
      <c r="I165" s="20"/>
      <c r="K165" s="73"/>
      <c r="L165" s="73"/>
      <c r="M165" s="73"/>
    </row>
    <row r="166" spans="1:13" x14ac:dyDescent="0.3">
      <c r="A166" s="138" t="s">
        <v>223</v>
      </c>
      <c r="B166" s="138"/>
      <c r="C166" s="139"/>
      <c r="D166" s="146"/>
      <c r="E166" s="20"/>
      <c r="F166" s="20"/>
      <c r="G166" s="20"/>
      <c r="H166" s="20"/>
      <c r="I166" s="20"/>
      <c r="K166" s="73"/>
      <c r="L166" s="73"/>
      <c r="M166" s="73"/>
    </row>
    <row r="167" spans="1:13" x14ac:dyDescent="0.3">
      <c r="A167" s="133" t="s">
        <v>229</v>
      </c>
      <c r="B167" s="133"/>
      <c r="C167" s="147"/>
      <c r="D167" s="148"/>
      <c r="E167" s="20"/>
      <c r="F167" s="20"/>
      <c r="G167" s="20"/>
      <c r="H167" s="20"/>
      <c r="I167" s="20"/>
      <c r="K167" s="73"/>
      <c r="L167" s="73"/>
      <c r="M167" s="73"/>
    </row>
    <row r="168" spans="1:13" x14ac:dyDescent="0.3">
      <c r="A168" s="142" t="s">
        <v>114</v>
      </c>
      <c r="B168" s="143"/>
      <c r="C168" s="144"/>
      <c r="D168" s="145">
        <v>82</v>
      </c>
      <c r="E168" s="20"/>
      <c r="F168" s="20"/>
      <c r="G168" s="20"/>
      <c r="H168" s="20"/>
      <c r="I168" s="20"/>
      <c r="K168" s="73"/>
      <c r="L168" s="73"/>
      <c r="M168" s="73"/>
    </row>
    <row r="169" spans="1:13" x14ac:dyDescent="0.3">
      <c r="A169" s="142" t="s">
        <v>115</v>
      </c>
      <c r="B169" s="143"/>
      <c r="C169" s="144"/>
      <c r="D169" s="145">
        <v>22</v>
      </c>
      <c r="E169" s="20"/>
      <c r="F169" s="20"/>
      <c r="G169" s="20"/>
      <c r="H169" s="20"/>
      <c r="I169" s="20"/>
      <c r="K169" s="73"/>
      <c r="L169" s="73"/>
      <c r="M169" s="73"/>
    </row>
    <row r="170" spans="1:13" x14ac:dyDescent="0.3">
      <c r="A170" s="142" t="s">
        <v>116</v>
      </c>
      <c r="B170" s="143"/>
      <c r="C170" s="144"/>
      <c r="D170" s="145">
        <v>746.6405694</v>
      </c>
      <c r="E170" s="20"/>
      <c r="F170" s="20"/>
      <c r="G170" s="20"/>
      <c r="H170" s="20"/>
      <c r="I170" s="20"/>
      <c r="K170" s="73"/>
      <c r="L170" s="73"/>
      <c r="M170" s="73"/>
    </row>
    <row r="171" spans="1:13" x14ac:dyDescent="0.3">
      <c r="A171" s="142" t="s">
        <v>117</v>
      </c>
      <c r="B171" s="143"/>
      <c r="C171" s="144"/>
      <c r="D171" s="145">
        <v>367.34201988000007</v>
      </c>
      <c r="E171" s="20"/>
      <c r="F171" s="20"/>
      <c r="G171" s="20"/>
      <c r="H171" s="20"/>
      <c r="I171" s="20"/>
      <c r="K171" s="73"/>
      <c r="L171" s="73"/>
      <c r="M171" s="73"/>
    </row>
    <row r="172" spans="1:13" x14ac:dyDescent="0.3">
      <c r="A172" s="142" t="s">
        <v>118</v>
      </c>
      <c r="B172" s="143"/>
      <c r="C172" s="144"/>
      <c r="D172" s="149">
        <v>-11.788559599999999</v>
      </c>
      <c r="E172" s="20"/>
      <c r="F172" s="20"/>
      <c r="G172" s="20"/>
      <c r="H172" s="20"/>
      <c r="I172" s="20"/>
      <c r="K172" s="73"/>
      <c r="L172" s="73"/>
      <c r="M172" s="73"/>
    </row>
    <row r="173" spans="1:13" x14ac:dyDescent="0.3">
      <c r="A173" s="52"/>
      <c r="B173" s="52"/>
      <c r="C173" s="52"/>
      <c r="D173" s="52"/>
      <c r="E173" s="52"/>
      <c r="F173" s="52"/>
      <c r="G173" s="14"/>
      <c r="H173" s="14"/>
      <c r="I173" s="73"/>
      <c r="K173" s="73"/>
      <c r="L173" s="73"/>
      <c r="M173" s="73"/>
    </row>
    <row r="174" spans="1:13" x14ac:dyDescent="0.3">
      <c r="A174" s="15" t="s">
        <v>4</v>
      </c>
      <c r="B174" s="16"/>
      <c r="C174" s="6"/>
      <c r="D174" s="16"/>
      <c r="E174" s="6"/>
      <c r="F174" s="6"/>
      <c r="G174" s="20"/>
      <c r="H174" s="20"/>
      <c r="I174" s="73"/>
      <c r="K174" s="73"/>
      <c r="L174" s="73"/>
      <c r="M174" s="73"/>
    </row>
    <row r="175" spans="1:13" x14ac:dyDescent="0.3">
      <c r="A175" s="17" t="s">
        <v>3</v>
      </c>
      <c r="B175" s="16"/>
      <c r="C175" s="16"/>
      <c r="D175" s="16"/>
      <c r="E175" s="6"/>
      <c r="F175" s="6"/>
      <c r="G175" s="20"/>
      <c r="H175" s="20"/>
      <c r="I175" s="73"/>
      <c r="K175" s="73"/>
      <c r="L175" s="73"/>
      <c r="M175" s="73"/>
    </row>
    <row r="176" spans="1:13" x14ac:dyDescent="0.3">
      <c r="A176" s="17" t="s">
        <v>2</v>
      </c>
      <c r="B176" s="16"/>
      <c r="C176" s="16"/>
      <c r="D176" s="16"/>
      <c r="E176" s="6"/>
      <c r="F176" s="6"/>
      <c r="G176" s="20"/>
      <c r="H176" s="20"/>
      <c r="I176" s="73"/>
      <c r="K176" s="73"/>
      <c r="L176" s="73"/>
      <c r="M176" s="73"/>
    </row>
    <row r="177" spans="1:13" x14ac:dyDescent="0.3">
      <c r="A177" s="17" t="s">
        <v>1</v>
      </c>
      <c r="B177" s="16"/>
      <c r="C177" s="16"/>
      <c r="D177" s="16"/>
      <c r="E177" s="6"/>
      <c r="F177" s="6"/>
      <c r="G177" s="20"/>
      <c r="H177" s="20"/>
      <c r="I177" s="73"/>
      <c r="K177" s="73"/>
      <c r="L177" s="73"/>
      <c r="M177" s="73"/>
    </row>
    <row r="178" spans="1:13" x14ac:dyDescent="0.3">
      <c r="A178" s="20"/>
      <c r="B178" s="5"/>
      <c r="C178" s="8"/>
      <c r="D178" s="7"/>
      <c r="E178" s="6"/>
      <c r="F178" s="6"/>
      <c r="G178" s="20"/>
      <c r="H178" s="20"/>
      <c r="I178" s="73"/>
      <c r="K178" s="73"/>
      <c r="L178" s="73"/>
      <c r="M178" s="73"/>
    </row>
    <row r="179" spans="1:13" x14ac:dyDescent="0.3">
      <c r="A179" s="126" t="s">
        <v>102</v>
      </c>
      <c r="B179" s="126"/>
      <c r="C179" s="127" t="s">
        <v>149</v>
      </c>
      <c r="D179" s="127"/>
      <c r="E179" s="6"/>
      <c r="F179" s="6"/>
      <c r="G179" s="20"/>
      <c r="H179" s="20"/>
      <c r="I179" s="73"/>
      <c r="K179" s="73"/>
      <c r="L179" s="73"/>
      <c r="M179" s="73"/>
    </row>
    <row r="180" spans="1:13" x14ac:dyDescent="0.3">
      <c r="A180" s="20"/>
      <c r="B180" s="9"/>
      <c r="C180" s="8"/>
      <c r="D180" s="7"/>
      <c r="E180" s="6"/>
      <c r="F180" s="6"/>
      <c r="G180" s="20"/>
      <c r="H180" s="20"/>
      <c r="I180" s="73"/>
      <c r="K180" s="73"/>
      <c r="L180" s="73"/>
      <c r="M180" s="73"/>
    </row>
    <row r="181" spans="1:13" x14ac:dyDescent="0.3">
      <c r="A181" s="20"/>
      <c r="B181" s="5"/>
      <c r="C181" s="8"/>
      <c r="D181" s="7"/>
      <c r="E181" s="6"/>
      <c r="F181" s="6"/>
      <c r="G181" s="20"/>
      <c r="H181" s="20"/>
      <c r="I181" s="73"/>
      <c r="K181" s="73"/>
      <c r="L181" s="73"/>
      <c r="M181" s="73"/>
    </row>
    <row r="182" spans="1:13" x14ac:dyDescent="0.3">
      <c r="A182" s="20"/>
      <c r="B182" s="5"/>
      <c r="C182" s="8"/>
      <c r="D182" s="7"/>
      <c r="E182" s="6"/>
      <c r="F182" s="6"/>
      <c r="G182" s="20"/>
      <c r="H182" s="20"/>
      <c r="I182" s="73"/>
      <c r="K182" s="73"/>
      <c r="L182" s="73"/>
      <c r="M182" s="73"/>
    </row>
    <row r="183" spans="1:13" x14ac:dyDescent="0.3">
      <c r="A183" s="20"/>
      <c r="B183" s="5"/>
      <c r="C183" s="8"/>
      <c r="D183" s="7"/>
      <c r="E183" s="6"/>
      <c r="F183" s="6"/>
      <c r="G183" s="20"/>
      <c r="H183" s="20"/>
      <c r="I183" s="73"/>
      <c r="K183" s="73"/>
      <c r="L183" s="73"/>
      <c r="M183" s="73"/>
    </row>
    <row r="184" spans="1:13" x14ac:dyDescent="0.3">
      <c r="A184" s="20"/>
      <c r="B184" s="5"/>
      <c r="C184" s="8"/>
      <c r="D184" s="7"/>
      <c r="E184" s="6"/>
      <c r="F184" s="6"/>
      <c r="G184" s="20"/>
      <c r="H184" s="20"/>
      <c r="I184" s="73"/>
      <c r="K184" s="73"/>
      <c r="L184" s="73"/>
      <c r="M184" s="73"/>
    </row>
    <row r="185" spans="1:13" x14ac:dyDescent="0.3">
      <c r="A185" s="20"/>
      <c r="B185" s="5"/>
      <c r="C185" s="8"/>
      <c r="D185" s="7"/>
      <c r="E185" s="6"/>
      <c r="F185" s="6"/>
      <c r="G185" s="20"/>
      <c r="H185" s="20"/>
      <c r="I185" s="73"/>
      <c r="K185" s="73"/>
      <c r="L185" s="73"/>
      <c r="M185" s="73"/>
    </row>
    <row r="186" spans="1:13" x14ac:dyDescent="0.3">
      <c r="A186" s="20"/>
      <c r="B186" s="5"/>
      <c r="C186" s="8"/>
      <c r="D186" s="7"/>
      <c r="E186" s="6"/>
      <c r="F186" s="6"/>
      <c r="G186" s="20"/>
      <c r="H186" s="20"/>
      <c r="I186" s="73"/>
      <c r="K186" s="73"/>
      <c r="L186" s="73"/>
      <c r="M186" s="73"/>
    </row>
    <row r="187" spans="1:13" x14ac:dyDescent="0.3">
      <c r="A187" s="20"/>
      <c r="B187" s="5"/>
      <c r="C187" s="8"/>
      <c r="D187" s="7"/>
      <c r="E187" s="6"/>
      <c r="F187" s="6"/>
      <c r="G187" s="20"/>
      <c r="H187" s="20"/>
      <c r="I187" s="73"/>
      <c r="K187" s="73"/>
      <c r="L187" s="73"/>
      <c r="M187" s="73"/>
    </row>
    <row r="188" spans="1:13" x14ac:dyDescent="0.3">
      <c r="A188" s="20"/>
      <c r="B188" s="5"/>
      <c r="C188" s="8"/>
      <c r="D188" s="7"/>
      <c r="E188" s="6"/>
      <c r="F188" s="6"/>
      <c r="G188" s="20"/>
      <c r="H188" s="20"/>
      <c r="I188" s="73"/>
      <c r="K188" s="73"/>
      <c r="L188" s="73"/>
      <c r="M188" s="73"/>
    </row>
    <row r="189" spans="1:13" x14ac:dyDescent="0.3">
      <c r="A189" s="20"/>
      <c r="B189" s="5"/>
      <c r="C189" s="8"/>
      <c r="D189" s="7"/>
      <c r="E189" s="6"/>
      <c r="F189" s="6"/>
      <c r="G189" s="20"/>
      <c r="H189" s="20"/>
      <c r="I189" s="73"/>
      <c r="K189" s="73"/>
      <c r="L189" s="73"/>
      <c r="M189" s="73"/>
    </row>
    <row r="190" spans="1:13" x14ac:dyDescent="0.3">
      <c r="A190" s="126" t="s">
        <v>103</v>
      </c>
      <c r="B190" s="126"/>
      <c r="C190" s="128" t="s">
        <v>0</v>
      </c>
      <c r="D190" s="128"/>
      <c r="E190" s="128"/>
      <c r="F190" s="128"/>
      <c r="G190" s="20"/>
      <c r="H190" s="20"/>
      <c r="I190" s="73"/>
      <c r="K190" s="73"/>
      <c r="L190" s="73"/>
      <c r="M190" s="73"/>
    </row>
    <row r="191" spans="1:13" x14ac:dyDescent="0.3">
      <c r="A191" s="20"/>
      <c r="B191" s="5"/>
      <c r="C191" s="8"/>
      <c r="D191" s="7"/>
      <c r="E191" s="6"/>
      <c r="F191" s="6"/>
      <c r="G191" s="20"/>
      <c r="H191" s="20"/>
      <c r="I191" s="73"/>
      <c r="K191" s="73"/>
      <c r="L191" s="73"/>
      <c r="M191" s="73"/>
    </row>
    <row r="192" spans="1:13" x14ac:dyDescent="0.3">
      <c r="A192" s="123" t="s">
        <v>104</v>
      </c>
      <c r="B192" s="124"/>
      <c r="C192" s="22"/>
      <c r="D192" s="7"/>
      <c r="E192" s="20"/>
      <c r="F192" s="20"/>
      <c r="G192" s="20"/>
      <c r="H192" s="20"/>
      <c r="I192" s="73"/>
      <c r="K192" s="73"/>
      <c r="L192" s="73"/>
      <c r="M192" s="73"/>
    </row>
    <row r="193" spans="1:13" x14ac:dyDescent="0.3">
      <c r="A193" s="23" t="s">
        <v>107</v>
      </c>
      <c r="B193" s="27"/>
      <c r="C193" s="22"/>
      <c r="D193" s="7"/>
      <c r="E193" s="20"/>
      <c r="F193" s="20"/>
      <c r="G193" s="20"/>
      <c r="H193" s="20"/>
      <c r="I193" s="73"/>
      <c r="K193" s="73"/>
      <c r="L193" s="73"/>
      <c r="M193" s="73"/>
    </row>
    <row r="194" spans="1:13" x14ac:dyDescent="0.3">
      <c r="A194" s="119" t="s">
        <v>105</v>
      </c>
      <c r="B194" s="28"/>
      <c r="C194" s="28"/>
      <c r="D194" s="7"/>
      <c r="E194" s="20"/>
      <c r="F194" s="20"/>
      <c r="G194" s="20"/>
      <c r="H194" s="20"/>
      <c r="I194" s="73"/>
      <c r="K194" s="73"/>
      <c r="L194" s="73"/>
      <c r="M194" s="73"/>
    </row>
    <row r="195" spans="1:13" x14ac:dyDescent="0.3">
      <c r="A195" s="28"/>
      <c r="B195" s="28"/>
      <c r="C195" s="28"/>
      <c r="D195" s="7"/>
      <c r="E195" s="20"/>
      <c r="F195" s="20"/>
      <c r="G195" s="20"/>
      <c r="H195" s="20"/>
      <c r="I195" s="73"/>
      <c r="K195" s="73"/>
      <c r="L195" s="73"/>
      <c r="M195" s="73"/>
    </row>
    <row r="196" spans="1:13" x14ac:dyDescent="0.3">
      <c r="A196" s="23" t="s">
        <v>108</v>
      </c>
      <c r="B196" s="28"/>
      <c r="C196" s="28"/>
      <c r="D196" s="7"/>
      <c r="E196" s="20"/>
      <c r="F196" s="20"/>
      <c r="G196" s="20"/>
      <c r="H196" s="20"/>
      <c r="I196" s="73"/>
      <c r="K196" s="73"/>
      <c r="L196" s="73"/>
      <c r="M196" s="73"/>
    </row>
    <row r="197" spans="1:13" x14ac:dyDescent="0.3">
      <c r="A197" s="119" t="s">
        <v>106</v>
      </c>
      <c r="B197" s="28"/>
      <c r="C197" s="28"/>
      <c r="D197" s="7"/>
      <c r="E197" s="20"/>
      <c r="F197" s="20"/>
      <c r="G197" s="20"/>
      <c r="H197" s="20"/>
      <c r="I197" s="73"/>
      <c r="K197" s="73"/>
      <c r="L197" s="73"/>
      <c r="M197" s="73"/>
    </row>
    <row r="198" spans="1:13" x14ac:dyDescent="0.3">
      <c r="A198" s="73"/>
      <c r="B198" s="120"/>
      <c r="C198" s="121"/>
      <c r="D198" s="122"/>
      <c r="E198" s="73"/>
      <c r="F198" s="73"/>
      <c r="G198" s="73"/>
      <c r="H198" s="73"/>
      <c r="I198" s="73"/>
      <c r="K198" s="73"/>
      <c r="L198" s="73"/>
      <c r="M198" s="73"/>
    </row>
    <row r="199" spans="1:13" x14ac:dyDescent="0.3">
      <c r="A199" s="73"/>
      <c r="B199" s="120"/>
      <c r="C199" s="121"/>
      <c r="D199" s="122"/>
      <c r="E199" s="73"/>
      <c r="F199" s="73"/>
      <c r="G199" s="73"/>
      <c r="H199" s="73"/>
      <c r="I199" s="73"/>
      <c r="K199" s="73"/>
      <c r="L199" s="73"/>
      <c r="M199" s="73"/>
    </row>
  </sheetData>
  <mergeCells count="14">
    <mergeCell ref="A105:B105"/>
    <mergeCell ref="A148:I149"/>
    <mergeCell ref="A157:B157"/>
    <mergeCell ref="A166:B166"/>
    <mergeCell ref="B1:I1"/>
    <mergeCell ref="B2:I2"/>
    <mergeCell ref="B3:I3"/>
    <mergeCell ref="A192:B192"/>
    <mergeCell ref="A119:B119"/>
    <mergeCell ref="A179:B179"/>
    <mergeCell ref="C179:D179"/>
    <mergeCell ref="A190:B190"/>
    <mergeCell ref="C190:F190"/>
    <mergeCell ref="A158:B158"/>
  </mergeCells>
  <hyperlinks>
    <hyperlink ref="A194" r:id="rId1" xr:uid="{7D0ED722-9D16-4351-A45B-D952362B5BD3}"/>
    <hyperlink ref="A197" r:id="rId2" xr:uid="{2857824C-1220-437F-B8E8-98B13348383A}"/>
  </hyperlinks>
  <pageMargins left="0.75" right="0.25" top="1" bottom="1" header="0.5" footer="0.5"/>
  <pageSetup paperSize="9" scale="61"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2025-02-05T09:40:45Z</dcterms:created>
  <dcterms:modified xsi:type="dcterms:W3CDTF">2026-10-08T08:25:39Z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2025-02-06T09:21:58Z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a4411e9a-e9dc-48de-a85a-5684e7d7e335</vt:lpwstr>
  </property>
  <property fmtid="{D5CDD505-2E9C-101B-9397-08002B2CF9AE}" pid="8" name="MSIP_Label_e3ba8fb0-bbb8-454c-aa98-661329b3f27f_ContentBits">
    <vt:lpwstr>3</vt:lpwstr>
  </property>
</Properties>
</file>