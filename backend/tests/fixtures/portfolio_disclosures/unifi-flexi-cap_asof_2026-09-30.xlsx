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C6BFAB67-F557-4F3C-82B0-019C5F0366C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nifi Flexi Cap Fund" sheetId="1" r:id="rId1"/>
  </sheets>
  <definedNames>
    <definedName name="_xlnm._FilterDatabase" localSheetId="0" hidden="1">'Unifi Flexi Cap Fund'!$N$7:$N$61</definedName>
    <definedName name="page\x2dtotal">#REF!</definedName>
    <definedName name="page\x2dtotal\x2dmaster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2" i="1" l="1"/>
  <c r="E62" i="1"/>
  <c r="F87" i="1"/>
  <c r="E88" i="1"/>
  <c r="F88" i="1" s="1"/>
</calcChain>
</file>

<file path=xl/sharedStrings.xml><?xml version="1.0" encoding="utf-8"?>
<sst xmlns="http://schemas.openxmlformats.org/spreadsheetml/2006/main" count="257" uniqueCount="208">
  <si>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</si>
  <si>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</si>
  <si>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</si>
  <si>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</si>
  <si>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</si>
  <si>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</si>
  <si>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</si>
  <si>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Yield to call (YTC)^^</t>
  </si>
  <si>
    <t>Equity &amp; Equity related</t>
  </si>
  <si>
    <t>a) Listed / awaiting listing on Stock Exchanges</t>
  </si>
  <si>
    <t xml:space="preserve"> The South Indian Bank Limited</t>
  </si>
  <si>
    <t>INE683A01023</t>
  </si>
  <si>
    <t>INE1M2N01020</t>
  </si>
  <si>
    <t xml:space="preserve"> Bharti Airtel Limited</t>
  </si>
  <si>
    <t>INE397D01024</t>
  </si>
  <si>
    <t>INE742F01042</t>
  </si>
  <si>
    <t>INE007N01010</t>
  </si>
  <si>
    <t xml:space="preserve"> ICICI Bank Limited</t>
  </si>
  <si>
    <t>INE090A01021</t>
  </si>
  <si>
    <t xml:space="preserve"> CARE Ratings Limited</t>
  </si>
  <si>
    <t>INE752H01013</t>
  </si>
  <si>
    <t xml:space="preserve"> Hindustan Aeronautics Limited</t>
  </si>
  <si>
    <t>INE066F01020</t>
  </si>
  <si>
    <t xml:space="preserve"> Reliance Industries Limited</t>
  </si>
  <si>
    <t>INE002A01018</t>
  </si>
  <si>
    <t xml:space="preserve"> Kotak Mahindra Bank Limited</t>
  </si>
  <si>
    <t>INE237A01036</t>
  </si>
  <si>
    <t xml:space="preserve"> Larsen &amp; Toubro Limited</t>
  </si>
  <si>
    <t>INE018A01030</t>
  </si>
  <si>
    <t>Construction</t>
  </si>
  <si>
    <t xml:space="preserve"> Pearl Global Industries Limited</t>
  </si>
  <si>
    <t>INE940H01022</t>
  </si>
  <si>
    <t xml:space="preserve"> Vadilal Industries Limited</t>
  </si>
  <si>
    <t>INE694D01016</t>
  </si>
  <si>
    <t xml:space="preserve"> Marksans Pharma Limited</t>
  </si>
  <si>
    <t>INE750C01026</t>
  </si>
  <si>
    <t xml:space="preserve"> Apollo Hospitals Enterprise Limited</t>
  </si>
  <si>
    <t>INE437A01024</t>
  </si>
  <si>
    <t>Healthcare Services</t>
  </si>
  <si>
    <t xml:space="preserve"> Axis Bank Limited</t>
  </si>
  <si>
    <t>INE238A01034</t>
  </si>
  <si>
    <t xml:space="preserve"> HDFC Bank Limited</t>
  </si>
  <si>
    <t>INE040A01034</t>
  </si>
  <si>
    <t>INE810G01011</t>
  </si>
  <si>
    <t xml:space="preserve"> State Bank of India</t>
  </si>
  <si>
    <t>INE062A01020</t>
  </si>
  <si>
    <t>INE320B01020</t>
  </si>
  <si>
    <t xml:space="preserve"> Aarti Pharmalabs Limited</t>
  </si>
  <si>
    <t>INE0LRU01027</t>
  </si>
  <si>
    <t xml:space="preserve"> Jubilant Ingrevia Limited</t>
  </si>
  <si>
    <t>INE0BY001018</t>
  </si>
  <si>
    <t xml:space="preserve"> Vedanta Aluminium Metal Limited</t>
  </si>
  <si>
    <t>INE1CDF01017</t>
  </si>
  <si>
    <t xml:space="preserve"> Endurance Technologies Limited</t>
  </si>
  <si>
    <t>INE913H01037</t>
  </si>
  <si>
    <t xml:space="preserve"> Narayana Hrudayalaya Limited</t>
  </si>
  <si>
    <t>INE410P01011</t>
  </si>
  <si>
    <t>INE961O01016</t>
  </si>
  <si>
    <t xml:space="preserve"> NTPC Limited</t>
  </si>
  <si>
    <t>INE733E01010</t>
  </si>
  <si>
    <t>Power</t>
  </si>
  <si>
    <t xml:space="preserve"> Torrent Pharmaceuticals Limited</t>
  </si>
  <si>
    <t>INE685A01028</t>
  </si>
  <si>
    <t xml:space="preserve"> Bajaj Auto Limited</t>
  </si>
  <si>
    <t>INE917I01010</t>
  </si>
  <si>
    <t>INE12UR01024</t>
  </si>
  <si>
    <t xml:space="preserve"> Angel One Limited</t>
  </si>
  <si>
    <t>INE732I01021</t>
  </si>
  <si>
    <t xml:space="preserve"> Redington Limited</t>
  </si>
  <si>
    <t>INE891D01026</t>
  </si>
  <si>
    <t>INE0SII01026</t>
  </si>
  <si>
    <t xml:space="preserve"> JK Paper Limited</t>
  </si>
  <si>
    <t>INE789E01012</t>
  </si>
  <si>
    <t xml:space="preserve"> TVS Motor Company Limited</t>
  </si>
  <si>
    <t>INE494B01023</t>
  </si>
  <si>
    <t xml:space="preserve"> Tata Steel Limited</t>
  </si>
  <si>
    <t>INE081A01020</t>
  </si>
  <si>
    <t xml:space="preserve"> Alivus Life Sciences</t>
  </si>
  <si>
    <t>INE03Q201024</t>
  </si>
  <si>
    <t xml:space="preserve"> HDFC Asset Management Company Limited</t>
  </si>
  <si>
    <t>INE127D01025</t>
  </si>
  <si>
    <t xml:space="preserve"> PNB Housing Finance Limited</t>
  </si>
  <si>
    <t>INE572E01012</t>
  </si>
  <si>
    <t xml:space="preserve"> Dixon Technologies (India) Limited</t>
  </si>
  <si>
    <t>INE935N01020</t>
  </si>
  <si>
    <t>INE974X01010</t>
  </si>
  <si>
    <t xml:space="preserve"> Oracle Financial Services Software</t>
  </si>
  <si>
    <t>INE881D01027</t>
  </si>
  <si>
    <t>INE159A01016</t>
  </si>
  <si>
    <t xml:space="preserve"> ITC Hotels Limited</t>
  </si>
  <si>
    <t>INE379A01028</t>
  </si>
  <si>
    <t xml:space="preserve"> V-Guard Industries Limited</t>
  </si>
  <si>
    <t>INE951I01027</t>
  </si>
  <si>
    <t xml:space="preserve"> Mahindra &amp; Mahindra Limited</t>
  </si>
  <si>
    <t>INE101A01026</t>
  </si>
  <si>
    <t xml:space="preserve"> Tech Mahindra Limited</t>
  </si>
  <si>
    <t>INE669C01036</t>
  </si>
  <si>
    <t xml:space="preserve"> Home First Finance Company India Limited</t>
  </si>
  <si>
    <t>INE481N01025</t>
  </si>
  <si>
    <t xml:space="preserve"> Aadhar Housing Finance Limited</t>
  </si>
  <si>
    <t>INE883F01010</t>
  </si>
  <si>
    <t xml:space="preserve"> RPG Life Sciences Limited</t>
  </si>
  <si>
    <t>INE105J01010</t>
  </si>
  <si>
    <t xml:space="preserve"> Sagility Limited</t>
  </si>
  <si>
    <t>INE0W2G01015</t>
  </si>
  <si>
    <t xml:space="preserve"> MphasiS Limited</t>
  </si>
  <si>
    <t>INE356A01018</t>
  </si>
  <si>
    <t xml:space="preserve"> Can Fin Homes Limited</t>
  </si>
  <si>
    <t>INE477A01020</t>
  </si>
  <si>
    <t xml:space="preserve"> HEG Limited</t>
  </si>
  <si>
    <t>INE545A01024</t>
  </si>
  <si>
    <t>Subtotal</t>
  </si>
  <si>
    <t>(b) UNLISTED</t>
  </si>
  <si>
    <t>INE0Y9J01020</t>
  </si>
  <si>
    <t>Preference Shares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</si>
  <si>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</si>
  <si>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</si>
  <si>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</si>
  <si>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</si>
  <si>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</si>
  <si>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</t>
  </si>
  <si>
    <t>Money Market Instruments</t>
  </si>
  <si>
    <t>Tri Party Repo (TREPs)</t>
  </si>
  <si>
    <t>TREPS</t>
  </si>
  <si>
    <t>INTRPS011026</t>
  </si>
  <si>
    <t>Others</t>
  </si>
  <si>
    <t>Net Current Assets</t>
  </si>
  <si>
    <t>GRAND TOTAL</t>
  </si>
  <si>
    <t>^^  As per AMFI Best Practices Circular dated 24 March 2021, Yield to Call (YTC) to be disclosed for Perpetual Bonds issued by Banks.</t>
  </si>
  <si>
    <t>Notes :</t>
  </si>
  <si>
    <t>1) The provision made for investment in security below investment grade as on September 30, 2026 is Rs Nil and its percentage to Net Asset Value is Nil.</t>
  </si>
  <si>
    <t>2) Net Assets Value per unit (in Rs) are as follows :</t>
  </si>
  <si>
    <t>Plan/Option</t>
  </si>
  <si>
    <t>As on September 30, 2026</t>
  </si>
  <si>
    <t>As on August 31, 2026</t>
  </si>
  <si>
    <t>5) Total outstanding exposure in derivative instruments as on September 30, 2026 : Nil.</t>
  </si>
  <si>
    <t>7) Details of repo transactions in corporate debt securities for the month of September 2026: Nil.</t>
  </si>
  <si>
    <t>10) Reverse Repo market value is considered as book cost plus accrued Interest.</t>
  </si>
  <si>
    <t>Banks</t>
  </si>
  <si>
    <t>Consumer Durables</t>
  </si>
  <si>
    <t>Telecom - Services</t>
  </si>
  <si>
    <t>Transport Infrastructure</t>
  </si>
  <si>
    <t>Finance</t>
  </si>
  <si>
    <t>Capital Markets</t>
  </si>
  <si>
    <t>Aerospace &amp; Defense</t>
  </si>
  <si>
    <t>Petroleum Products</t>
  </si>
  <si>
    <t>Textiles &amp; Apparels</t>
  </si>
  <si>
    <t>Food Products</t>
  </si>
  <si>
    <t>Pharmaceuticals &amp; Biotechnology</t>
  </si>
  <si>
    <t>Industrial Products</t>
  </si>
  <si>
    <t>Chemicals &amp; Petrochemicals</t>
  </si>
  <si>
    <t>Non - Ferrous Metals</t>
  </si>
  <si>
    <t>Auto Components</t>
  </si>
  <si>
    <t>Automobiles</t>
  </si>
  <si>
    <t>Electrical Equipment</t>
  </si>
  <si>
    <t>Commercial Services &amp; Supplies</t>
  </si>
  <si>
    <t>Paper, Forest &amp; Jute Products</t>
  </si>
  <si>
    <t>Ferrous Metals</t>
  </si>
  <si>
    <t>IT - Software</t>
  </si>
  <si>
    <t>Leisure Services</t>
  </si>
  <si>
    <t>IT - Services</t>
  </si>
  <si>
    <t>Share Application Money Pending Allotment</t>
  </si>
  <si>
    <t>Margin Money for derivative/TREPS</t>
  </si>
  <si>
    <t>Direct Plan - Growth Option</t>
  </si>
  <si>
    <t>Regular Plan - Growth Option</t>
  </si>
  <si>
    <t>Disclosure for investments in derivative instruments</t>
  </si>
  <si>
    <t>11) Whether any security is in default beyond its maturity date: Nil.</t>
  </si>
  <si>
    <r>
      <rPr>
        <sz val="11"/>
        <rFont val="Calibri"/>
        <family val="2"/>
      </rPr>
      <t xml:space="preserve">12) For more details on Scheme Performance, please refer to the following link : </t>
    </r>
    <r>
      <rPr>
        <u/>
        <sz val="11"/>
        <color theme="10"/>
        <rFont val="Calibri"/>
        <family val="2"/>
      </rPr>
      <t>Click here</t>
    </r>
  </si>
  <si>
    <r>
      <rPr>
        <sz val="11"/>
        <rFont val="Calibri"/>
        <family val="2"/>
        <scheme val="minor"/>
      </rPr>
      <t xml:space="preserve">13) For disclosure of category wise portfolio overlap levels in Unifi Mutual Fund Schemes, please refer to the following link : </t>
    </r>
    <r>
      <rPr>
        <u/>
        <sz val="11"/>
        <color theme="10"/>
        <rFont val="Calibri"/>
        <family val="2"/>
        <scheme val="minor"/>
      </rPr>
      <t>Click here</t>
    </r>
  </si>
  <si>
    <t>This product is suitable for investors who are seeking*:</t>
  </si>
  <si>
    <t xml:space="preserve">• Capital Appreciation over long term. </t>
  </si>
  <si>
    <t>•Investment in a diversified portfolio consisting of equity and equity related instruments across market capitalization.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</si>
  <si>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</si>
  <si>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 xml:space="preserve">                                                                                      Scheme’s Riskometer
 </t>
  </si>
  <si>
    <t xml:space="preserve">               Tier 1 Benchmark’s Riskometer-(Nifty 500 TRI)
</t>
  </si>
  <si>
    <t>Investors understand that their principal will be at very high risk.</t>
  </si>
  <si>
    <t xml:space="preserve">                       Benchmark Risk-o-meter is very high</t>
  </si>
  <si>
    <t>Hedging Positions through Futures as on 30th September 2026 : Nil</t>
  </si>
  <si>
    <t>Other than Hedging Positions through Futures as on 30th September 2026 : Nil</t>
  </si>
  <si>
    <t>Hedging Position through Put Option as on  30th September 2026: Nil</t>
  </si>
  <si>
    <t>Other than Hedging Positions through Options as on 30th September 2026: Nil</t>
  </si>
  <si>
    <t>Hedging Positions through Swaps as on 30th September 2026: Nil</t>
  </si>
  <si>
    <t>Hedging Positions through Interest Rate Futures as on 30th September 2026: Nil</t>
  </si>
  <si>
    <t>Writing of call options under covered call strategy as on 30th September 2026: Nil</t>
  </si>
  <si>
    <t>For the period 1st September 2026 to 30th September 2026, following hedging transactions through futures have been squared off/expired : Nil</t>
  </si>
  <si>
    <t>For the period 1st September 2026 to 30th September 2026, non hedging transactions through futures have been squared off/expired :Nil</t>
  </si>
  <si>
    <t>For the period 1st September 2026 to 30th September 2026, hedging transactions through options which have been squared off/expired: Nil</t>
  </si>
  <si>
    <t>For the period 1st September 2026 to 30th September 2026, with regard to non-hedging transactions through options which have already been squared off/expired : Nil</t>
  </si>
  <si>
    <t>3) Details of Dividend declared per unit (in Rs.) during the Month of September 2026 : Nil</t>
  </si>
  <si>
    <t>4) No Bonus declared during the month of September 2026.</t>
  </si>
  <si>
    <t>8) Details of transactions of (Credit Default Swap) for the month ended September 30, 2026 : Nil.</t>
  </si>
  <si>
    <t>Unifi Mutual Fund</t>
  </si>
  <si>
    <t xml:space="preserve">Unifi Flexi Cap Fund
(An open-ended dynamic equity scheme investing across large cap, mid cap, small cap stocks) </t>
  </si>
  <si>
    <t>Monthly Portfolio Statement as on September 30, 2026</t>
  </si>
  <si>
    <t>9) Portfolio Turnover Ratio : 0.47 times</t>
  </si>
  <si>
    <t xml:space="preserve">6) Total investments in Foreign Securities / Overseas ETFs as on September 30, 2026 and its percentage to NAV : Nil. </t>
  </si>
  <si>
    <t xml:space="preserve"> Adani Port &amp; Special Economic Zone Limited</t>
  </si>
  <si>
    <t xml:space="preserve"> Fedbank Financial Ser Limited</t>
  </si>
  <si>
    <t xml:space="preserve"> Shyam Metalics and Energy Limited</t>
  </si>
  <si>
    <t xml:space="preserve"> Centum Electronics Limited</t>
  </si>
  <si>
    <t xml:space="preserve"> Fujiyama Power Systems Limited</t>
  </si>
  <si>
    <t xml:space="preserve"> Quality Power Electrical Equipments Limited</t>
  </si>
  <si>
    <t xml:space="preserve"> GlaxoSmithKline Pharmaceuticals Limited</t>
  </si>
  <si>
    <t xml:space="preserve"> Tube Investments of India Limited</t>
  </si>
  <si>
    <t xml:space="preserve"> Rainbow Childrens Medicare Limited</t>
  </si>
  <si>
    <t>^ Awaiting listing. Sector classification is based on peer data analysis</t>
  </si>
  <si>
    <t xml:space="preserve"> HEG Graphite Limited^</t>
  </si>
  <si>
    <t xml:space="preserve"> Deepa Jewellers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</si>
</sst>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.0000"/>
    <numFmt numFmtId="165" formatCode="_(* #,##0.00_);_(* \(#,##0.00\);_(* &quot;-&quot;_);_(* @_)"/>
    <numFmt numFmtId="166" formatCode="_(* #,##0_);_(* \(#,##0\);_(* &quot;-&quot;??_);_(@_)"/>
  </numFmts>
  <fonts count="18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b/>
      <sz val="10"/>
      <name val="Tahoma"/>
      <family val="2"/>
    </font>
    <font>
      <sz val="10"/>
      <name val="Arial"/>
      <family val="2"/>
    </font>
    <font>
      <sz val="10"/>
      <name val="Tahoma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6" fillId="0" borderId="0"/>
    <xf numFmtId="0" fontId="8" fillId="0" borderId="0"/>
    <xf numFmtId="0" fontId="1" fillId="0" borderId="0"/>
    <xf numFmtId="0" fontId="8" fillId="0" borderId="0"/>
    <xf numFmtId="0" fontId="12" fillId="0" borderId="0" applyNumberFormat="0" applyFill="0" applyBorder="0" applyAlignment="0" applyProtection="0"/>
    <xf numFmtId="43" fontId="17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left" indent="1"/>
    </xf>
    <xf numFmtId="0" fontId="3" fillId="0" borderId="1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4" fontId="4" fillId="0" borderId="1" xfId="0" applyNumberFormat="1" applyFont="1" applyBorder="1" applyAlignment="1">
      <alignment horizontal="right" vertical="top" wrapText="1"/>
    </xf>
    <xf numFmtId="10" fontId="4" fillId="0" borderId="1" xfId="0" applyNumberFormat="1" applyFont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10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0" fontId="4" fillId="0" borderId="0" xfId="0" applyFont="1" applyAlignment="1">
      <alignment horizontal="left" indent="1"/>
    </xf>
    <xf numFmtId="164" fontId="4" fillId="0" borderId="1" xfId="0" applyNumberFormat="1" applyFont="1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7" fillId="0" borderId="0" xfId="2" applyFont="1" applyAlignment="1">
      <alignment vertical="center"/>
    </xf>
    <xf numFmtId="0" fontId="0" fillId="0" borderId="0" xfId="0" applyAlignment="1">
      <alignment horizontal="left" vertical="top" wrapText="1"/>
    </xf>
    <xf numFmtId="4" fontId="3" fillId="0" borderId="0" xfId="0" applyNumberFormat="1" applyFont="1" applyAlignment="1">
      <alignment horizontal="right" vertical="top" wrapText="1"/>
    </xf>
    <xf numFmtId="9" fontId="3" fillId="0" borderId="0" xfId="1" applyFont="1" applyBorder="1" applyAlignment="1">
      <alignment horizontal="right" vertical="top" wrapText="1"/>
    </xf>
    <xf numFmtId="0" fontId="7" fillId="0" borderId="0" xfId="3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7" fillId="0" borderId="0" xfId="4" applyFont="1"/>
    <xf numFmtId="0" fontId="9" fillId="0" borderId="0" xfId="4" applyFont="1"/>
    <xf numFmtId="0" fontId="9" fillId="0" borderId="0" xfId="5" applyFont="1"/>
    <xf numFmtId="0" fontId="9" fillId="0" borderId="0" xfId="0" applyFont="1"/>
    <xf numFmtId="0" fontId="10" fillId="0" borderId="0" xfId="4" applyFont="1"/>
    <xf numFmtId="0" fontId="10" fillId="0" borderId="0" xfId="5" applyFont="1"/>
    <xf numFmtId="4" fontId="10" fillId="0" borderId="0" xfId="5" applyNumberFormat="1" applyFont="1"/>
    <xf numFmtId="165" fontId="10" fillId="0" borderId="0" xfId="4" applyNumberFormat="1" applyFont="1"/>
    <xf numFmtId="9" fontId="3" fillId="0" borderId="0" xfId="1" applyFont="1" applyFill="1" applyBorder="1" applyAlignment="1">
      <alignment horizontal="right" vertical="top" wrapText="1"/>
    </xf>
    <xf numFmtId="0" fontId="11" fillId="0" borderId="0" xfId="4" applyFont="1"/>
    <xf numFmtId="166" fontId="10" fillId="0" borderId="0" xfId="4" applyNumberFormat="1" applyFont="1"/>
    <xf numFmtId="10" fontId="3" fillId="0" borderId="0" xfId="0" applyNumberFormat="1" applyFont="1" applyAlignment="1">
      <alignment horizontal="right" vertical="top" wrapText="1"/>
    </xf>
    <xf numFmtId="0" fontId="10" fillId="0" borderId="0" xfId="0" applyFont="1"/>
    <xf numFmtId="0" fontId="7" fillId="0" borderId="0" xfId="0" applyFont="1"/>
    <xf numFmtId="0" fontId="4" fillId="0" borderId="0" xfId="0" applyFont="1"/>
    <xf numFmtId="0" fontId="16" fillId="0" borderId="0" xfId="0" applyFont="1" applyAlignment="1">
      <alignment horizontal="left" wrapText="1"/>
    </xf>
    <xf numFmtId="0" fontId="16" fillId="0" borderId="0" xfId="0" applyFont="1" applyAlignment="1">
      <alignment wrapText="1"/>
    </xf>
    <xf numFmtId="0" fontId="0" fillId="0" borderId="0" xfId="0" applyAlignment="1">
      <alignment horizontal="center" vertical="top"/>
    </xf>
    <xf numFmtId="0" fontId="2" fillId="2" borderId="2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vertical="top" wrapText="1"/>
    </xf>
    <xf numFmtId="43" fontId="4" fillId="0" borderId="1" xfId="7" applyFont="1" applyBorder="1" applyAlignment="1">
      <alignment horizontal="right" vertical="top" wrapText="1"/>
    </xf>
    <xf numFmtId="10" fontId="0" fillId="0" borderId="0" xfId="0" applyNumberFormat="1"/>
    <xf numFmtId="0" fontId="5" fillId="0" borderId="0" xfId="0" applyFont="1"/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12" fillId="0" borderId="10" xfId="6" applyFill="1" applyBorder="1" applyAlignment="1">
      <alignment horizontal="left" vertical="top"/>
    </xf>
    <xf numFmtId="0" fontId="12" fillId="0" borderId="11" xfId="6" applyFill="1" applyBorder="1" applyAlignment="1">
      <alignment horizontal="left" vertical="top"/>
    </xf>
    <xf numFmtId="0" fontId="12" fillId="0" borderId="12" xfId="6" applyFill="1" applyBorder="1" applyAlignment="1">
      <alignment horizontal="left" vertical="top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12" fillId="0" borderId="9" xfId="6" applyFill="1" applyBorder="1" applyAlignment="1">
      <alignment horizontal="left" vertical="top" wrapText="1"/>
    </xf>
  </cellXfs>
  <cellStyles count="8">
    <cellStyle name="_x000a_386grabber=m" xfId="5" xr:uid="{643140E7-5047-4416-A692-AF36C96B5770}"/>
    <cellStyle name="Comma" xfId="7" builtinId="3"/>
    <cellStyle name="Hyperlink" xfId="6" builtinId="8"/>
    <cellStyle name="Normal" xfId="0" builtinId="0"/>
    <cellStyle name="Normal 2" xfId="2" xr:uid="{C45EAF75-A065-4959-8EB0-F787EDC09E43}"/>
    <cellStyle name="Normal 2 2" xfId="3" xr:uid="{FEC1F4E9-9B97-4785-A71A-2E7BF6BB43F2}"/>
    <cellStyle name="Normal 3 2" xfId="4" xr:uid="{599FDB27-44D7-44B2-877A-52B5CA72009A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1635695</xdr:colOff>
      <xdr:row>142</xdr:row>
      <xdr:rowOff>56988</xdr:rowOff>
    </xdr:from>
    <xdr:to>
      <xdr:col>0</xdr:col>
      <xdr:colOff>5405641</xdr:colOff>
      <xdr:row>153</xdr:row>
      <xdr:rowOff>73270</xdr:rowOff>
    </xdr:to>
    <xdr:pic>
      <xdr:nvPicPr>
        <xdr:cNvPr id="2" name="Picture 1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BA29E3CD-57B0-4CC4-AC33-D39CD2015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695" y="27247688"/>
          <a:ext cx="3769946" cy="2041931"/>
        </a:xfrm>
        <a:prstGeom prst="rect">
          <a:avLst/>
        </a:prstGeom>
      </xdr:spPr>
    </xdr:pic>
    <xdr:clientData/>
  </xdr:twoCellAnchor>
  <xdr:twoCellAnchor editAs="oneCell">
    <xdr:from>
      <xdr:col>1</xdr:col>
      <xdr:colOff>27029</xdr:colOff>
      <xdr:row>143</xdr:row>
      <xdr:rowOff>11487</xdr:rowOff>
    </xdr:from>
    <xdr:to>
      <xdr:col>2</xdr:col>
      <xdr:colOff>2091430</xdr:colOff>
      <xdr:row>153</xdr:row>
      <xdr:rowOff>152849</xdr:rowOff>
    </xdr:to>
    <xdr:pic>
      <xdr:nvPicPr>
        <xdr:cNvPr id="3" name="Picture 2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63B8A170-4663-40ED-B336-5B22B9655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1829" y="27386337"/>
          <a:ext cx="3620151" cy="19828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ifimf.com/wp-content/uploads/fund-sheets/Scheme_Performance_DAAF_Feb.xlsx" TargetMode="External"/><Relationship Id="rId2" Type="http://schemas.openxmlformats.org/officeDocument/2006/relationships/hyperlink" Target="https://unifimf.com/wp-content/uploads/fund-sheets/Scheme_Performance_Flexicap_Sep26.xlsx" TargetMode="External"/><Relationship Id="rId1" Type="http://schemas.openxmlformats.org/officeDocument/2006/relationships/hyperlink" Target="https://unifimf.com/wp-content/uploads/fund-sheets/Scheme_Performance_Flexicap_Feb.xlsx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unifimf.com/wp-content/uploads/fund-sheets/Disclosure-of-category-wise-portfolio-overlap-levels-in-Unifi-Mutual-Fund-Schem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"/>
  <sheetViews>
    <sheetView showGridLines="0" tabSelected="1" zoomScale="76" zoomScaleNormal="76" workbookViewId="0">
      <selection sqref="A1:H1"/>
    </sheetView>
  </sheetViews>
  <sheetFormatPr defaultRowHeight="14.5" x14ac:dyDescent="0.35"/>
  <cols>
    <col min="1" max="1" width="95.26953125" customWidth="1"/>
    <col min="2" max="2" width="22.26953125" customWidth="1"/>
    <col min="3" max="3" width="30.81640625" customWidth="1"/>
    <col min="4" max="4" width="15.453125" customWidth="1"/>
    <col min="5" max="5" width="12.81640625" customWidth="1"/>
    <col min="6" max="6" width="9.81640625" bestFit="1" customWidth="1"/>
    <col min="7" max="7" width="8.7265625" customWidth="1"/>
    <col min="8" max="8" width="8.54296875" hidden="1" customWidth="1"/>
    <col min="9" max="9" width="6" hidden="1" customWidth="1"/>
    <col min="10" max="13" width="0.7265625" customWidth="1"/>
  </cols>
  <sheetData>
    <row r="1" spans="1:14" ht="18" customHeight="1" x14ac:dyDescent="0.35">
      <c r="A1" s="58" t="s">
        <v>191</v>
      </c>
      <c r="B1" s="59"/>
      <c r="C1" s="59"/>
      <c r="D1" s="59"/>
      <c r="E1" s="59"/>
      <c r="F1" s="59"/>
      <c r="G1" s="59"/>
      <c r="H1" s="60"/>
    </row>
    <row r="2" spans="1:14" ht="30" customHeight="1" x14ac:dyDescent="0.35">
      <c r="A2" s="58" t="s">
        <v>192</v>
      </c>
      <c r="B2" s="59"/>
      <c r="C2" s="59"/>
      <c r="D2" s="59"/>
      <c r="E2" s="59"/>
      <c r="F2" s="59"/>
      <c r="G2" s="59"/>
      <c r="H2" s="60"/>
    </row>
    <row r="3" spans="1:14" x14ac:dyDescent="0.35">
      <c r="A3" s="61" t="s">
        <v>193</v>
      </c>
      <c r="B3" s="62"/>
      <c r="C3" s="62"/>
      <c r="D3" s="62"/>
      <c r="E3" s="62"/>
      <c r="F3" s="62"/>
      <c r="G3" s="62"/>
      <c r="H3" s="63"/>
    </row>
    <row r="4" spans="1:14" ht="50" x14ac:dyDescent="0.35">
      <c r="A4" s="41" t="s">
        <v>0</v>
      </c>
      <c r="B4" s="41" t="s">
        <v>1</v>
      </c>
      <c r="C4" s="41" t="s">
        <v>2</v>
      </c>
      <c r="D4" s="41" t="s">
        <v>3</v>
      </c>
      <c r="E4" s="41" t="s">
        <v>4</v>
      </c>
      <c r="F4" s="41" t="s">
        <v>5</v>
      </c>
      <c r="G4" s="41" t="s">
        <v>6</v>
      </c>
      <c r="H4" s="3" t="s">
        <v>7</v>
      </c>
      <c r="I4" s="42"/>
    </row>
    <row r="5" spans="1:14" ht="18.399999999999999" customHeight="1" x14ac:dyDescent="0.35">
      <c r="A5" s="4" t="s">
        <v>8</v>
      </c>
      <c r="B5" s="5"/>
      <c r="C5" s="5"/>
      <c r="D5" s="5"/>
      <c r="E5" s="5"/>
      <c r="F5" s="5"/>
      <c r="G5" s="5"/>
      <c r="H5" s="5"/>
      <c r="I5" s="6"/>
    </row>
    <row r="6" spans="1:14" ht="16.649999999999999" customHeight="1" x14ac:dyDescent="0.35">
      <c r="A6" s="4" t="s">
        <v>9</v>
      </c>
      <c r="B6" s="5"/>
      <c r="C6" s="5"/>
      <c r="D6" s="5"/>
      <c r="E6" s="5"/>
      <c r="F6" s="5"/>
      <c r="G6" s="5"/>
      <c r="H6" s="5"/>
      <c r="I6" s="5"/>
    </row>
    <row r="7" spans="1:14" x14ac:dyDescent="0.35">
      <c r="A7" s="7" t="s">
        <v>10</v>
      </c>
      <c r="B7" s="7" t="s">
        <v>11</v>
      </c>
      <c r="C7" s="7" t="s">
        <v>138</v>
      </c>
      <c r="D7" s="8">
        <v>2300000</v>
      </c>
      <c r="E7" s="9">
        <v>1109.52</v>
      </c>
      <c r="F7" s="10">
        <v>4.6475219100733184E-2</v>
      </c>
      <c r="G7" s="5"/>
      <c r="H7" s="5"/>
      <c r="I7" s="6"/>
      <c r="N7" s="45"/>
    </row>
    <row r="8" spans="1:14" x14ac:dyDescent="0.35">
      <c r="A8" s="7" t="s">
        <v>207</v>
      </c>
      <c r="B8" s="7" t="s">
        <v>12</v>
      </c>
      <c r="C8" s="7" t="s">
        <v>139</v>
      </c>
      <c r="D8" s="8">
        <v>564984</v>
      </c>
      <c r="E8" s="9">
        <v>1104.4307232000001</v>
      </c>
      <c r="F8" s="10">
        <v>4.6262041100927617E-2</v>
      </c>
      <c r="G8" s="5"/>
      <c r="H8" s="5"/>
      <c r="I8" s="6"/>
      <c r="N8" s="44"/>
    </row>
    <row r="9" spans="1:14" x14ac:dyDescent="0.35">
      <c r="A9" s="7" t="s">
        <v>13</v>
      </c>
      <c r="B9" s="7" t="s">
        <v>14</v>
      </c>
      <c r="C9" s="7" t="s">
        <v>140</v>
      </c>
      <c r="D9" s="8">
        <v>51052</v>
      </c>
      <c r="E9" s="9">
        <v>896.98364000000004</v>
      </c>
      <c r="F9" s="10">
        <v>3.75725639905303E-2</v>
      </c>
      <c r="G9" s="5"/>
      <c r="H9" s="5"/>
      <c r="I9" s="6"/>
    </row>
    <row r="10" spans="1:14" x14ac:dyDescent="0.35">
      <c r="A10" s="7" t="s">
        <v>196</v>
      </c>
      <c r="B10" s="7" t="s">
        <v>15</v>
      </c>
      <c r="C10" s="7" t="s">
        <v>141</v>
      </c>
      <c r="D10" s="8">
        <v>49000</v>
      </c>
      <c r="E10" s="9">
        <v>881.16700000000003</v>
      </c>
      <c r="F10" s="10">
        <v>3.691004163001637E-2</v>
      </c>
      <c r="G10" s="5"/>
      <c r="H10" s="5"/>
      <c r="I10" s="6"/>
    </row>
    <row r="11" spans="1:14" x14ac:dyDescent="0.35">
      <c r="A11" s="7" t="s">
        <v>197</v>
      </c>
      <c r="B11" s="7" t="s">
        <v>16</v>
      </c>
      <c r="C11" s="7" t="s">
        <v>142</v>
      </c>
      <c r="D11" s="8">
        <v>550000</v>
      </c>
      <c r="E11" s="9">
        <v>830.28</v>
      </c>
      <c r="F11" s="10">
        <v>3.47785032401009E-2</v>
      </c>
      <c r="G11" s="5"/>
      <c r="H11" s="5"/>
      <c r="I11" s="6"/>
    </row>
    <row r="12" spans="1:14" x14ac:dyDescent="0.35">
      <c r="A12" s="7" t="s">
        <v>17</v>
      </c>
      <c r="B12" s="7" t="s">
        <v>18</v>
      </c>
      <c r="C12" s="7" t="s">
        <v>138</v>
      </c>
      <c r="D12" s="8">
        <v>61331</v>
      </c>
      <c r="E12" s="9">
        <v>810.61182699999995</v>
      </c>
      <c r="F12" s="10">
        <v>3.3954649096429652E-2</v>
      </c>
      <c r="G12" s="5"/>
      <c r="H12" s="5"/>
      <c r="I12" s="6"/>
    </row>
    <row r="13" spans="1:14" x14ac:dyDescent="0.35">
      <c r="A13" s="7" t="s">
        <v>19</v>
      </c>
      <c r="B13" s="7" t="s">
        <v>20</v>
      </c>
      <c r="C13" s="7" t="s">
        <v>143</v>
      </c>
      <c r="D13" s="8">
        <v>48000</v>
      </c>
      <c r="E13" s="9">
        <v>776.01599999999996</v>
      </c>
      <c r="F13" s="10">
        <v>3.2505510153647131E-2</v>
      </c>
      <c r="G13" s="5"/>
      <c r="H13" s="5"/>
      <c r="I13" s="6"/>
    </row>
    <row r="14" spans="1:14" x14ac:dyDescent="0.35">
      <c r="A14" s="7" t="s">
        <v>21</v>
      </c>
      <c r="B14" s="7" t="s">
        <v>22</v>
      </c>
      <c r="C14" s="7" t="s">
        <v>144</v>
      </c>
      <c r="D14" s="8">
        <v>16000</v>
      </c>
      <c r="E14" s="9">
        <v>746.88</v>
      </c>
      <c r="F14" s="10">
        <v>3.1285070699001015E-2</v>
      </c>
      <c r="G14" s="5"/>
      <c r="H14" s="5"/>
      <c r="I14" s="6"/>
    </row>
    <row r="15" spans="1:14" x14ac:dyDescent="0.35">
      <c r="A15" s="7" t="s">
        <v>23</v>
      </c>
      <c r="B15" s="7" t="s">
        <v>24</v>
      </c>
      <c r="C15" s="7" t="s">
        <v>145</v>
      </c>
      <c r="D15" s="8">
        <v>62000</v>
      </c>
      <c r="E15" s="9">
        <v>735.94</v>
      </c>
      <c r="F15" s="10">
        <v>3.0826819475983831E-2</v>
      </c>
      <c r="G15" s="5"/>
      <c r="H15" s="5"/>
      <c r="I15" s="6"/>
    </row>
    <row r="16" spans="1:14" x14ac:dyDescent="0.35">
      <c r="A16" s="7" t="s">
        <v>25</v>
      </c>
      <c r="B16" s="7" t="s">
        <v>26</v>
      </c>
      <c r="C16" s="7" t="s">
        <v>138</v>
      </c>
      <c r="D16" s="8">
        <v>160000</v>
      </c>
      <c r="E16" s="9">
        <v>667.2</v>
      </c>
      <c r="F16" s="10">
        <v>2.7947460328799103E-2</v>
      </c>
      <c r="G16" s="5"/>
      <c r="H16" s="5"/>
      <c r="I16" s="6"/>
    </row>
    <row r="17" spans="1:9" x14ac:dyDescent="0.35">
      <c r="A17" s="7" t="s">
        <v>27</v>
      </c>
      <c r="B17" s="7" t="s">
        <v>28</v>
      </c>
      <c r="C17" s="7" t="s">
        <v>29</v>
      </c>
      <c r="D17" s="8">
        <v>17000</v>
      </c>
      <c r="E17" s="9">
        <v>639.20000000000005</v>
      </c>
      <c r="F17" s="10">
        <v>2.6774605279029359E-2</v>
      </c>
      <c r="G17" s="5"/>
      <c r="H17" s="5"/>
      <c r="I17" s="6"/>
    </row>
    <row r="18" spans="1:9" x14ac:dyDescent="0.35">
      <c r="A18" s="7" t="s">
        <v>30</v>
      </c>
      <c r="B18" s="7" t="s">
        <v>31</v>
      </c>
      <c r="C18" s="7" t="s">
        <v>146</v>
      </c>
      <c r="D18" s="8">
        <v>46000</v>
      </c>
      <c r="E18" s="9">
        <v>589.76599999999996</v>
      </c>
      <c r="F18" s="10">
        <v>2.4703929688660871E-2</v>
      </c>
      <c r="G18" s="5"/>
      <c r="H18" s="5"/>
      <c r="I18" s="6"/>
    </row>
    <row r="19" spans="1:9" x14ac:dyDescent="0.35">
      <c r="A19" s="7" t="s">
        <v>32</v>
      </c>
      <c r="B19" s="7" t="s">
        <v>33</v>
      </c>
      <c r="C19" s="7" t="s">
        <v>147</v>
      </c>
      <c r="D19" s="8">
        <v>7700</v>
      </c>
      <c r="E19" s="9">
        <v>558.48099999999999</v>
      </c>
      <c r="F19" s="10">
        <v>2.3393473608944924E-2</v>
      </c>
      <c r="G19" s="5"/>
      <c r="H19" s="5"/>
      <c r="I19" s="6"/>
    </row>
    <row r="20" spans="1:9" x14ac:dyDescent="0.35">
      <c r="A20" s="7" t="s">
        <v>34</v>
      </c>
      <c r="B20" s="7" t="s">
        <v>35</v>
      </c>
      <c r="C20" s="7" t="s">
        <v>148</v>
      </c>
      <c r="D20" s="8">
        <v>170000</v>
      </c>
      <c r="E20" s="9">
        <v>547.91</v>
      </c>
      <c r="F20" s="10">
        <v>2.2950678939976495E-2</v>
      </c>
      <c r="G20" s="5"/>
      <c r="H20" s="5"/>
      <c r="I20" s="6"/>
    </row>
    <row r="21" spans="1:9" x14ac:dyDescent="0.35">
      <c r="A21" s="7" t="s">
        <v>36</v>
      </c>
      <c r="B21" s="7" t="s">
        <v>37</v>
      </c>
      <c r="C21" s="7" t="s">
        <v>38</v>
      </c>
      <c r="D21" s="8">
        <v>6702</v>
      </c>
      <c r="E21" s="9">
        <v>547.25180999999998</v>
      </c>
      <c r="F21" s="10">
        <v>2.292310888764764E-2</v>
      </c>
      <c r="G21" s="5"/>
      <c r="H21" s="5"/>
      <c r="I21" s="6"/>
    </row>
    <row r="22" spans="1:9" x14ac:dyDescent="0.35">
      <c r="A22" s="7" t="s">
        <v>39</v>
      </c>
      <c r="B22" s="7" t="s">
        <v>40</v>
      </c>
      <c r="C22" s="7" t="s">
        <v>138</v>
      </c>
      <c r="D22" s="8">
        <v>42601</v>
      </c>
      <c r="E22" s="9">
        <v>522.28826000000004</v>
      </c>
      <c r="F22" s="10">
        <v>2.187744368487337E-2</v>
      </c>
      <c r="G22" s="5"/>
      <c r="H22" s="5"/>
      <c r="I22" s="6"/>
    </row>
    <row r="23" spans="1:9" x14ac:dyDescent="0.35">
      <c r="A23" s="7" t="s">
        <v>41</v>
      </c>
      <c r="B23" s="7" t="s">
        <v>42</v>
      </c>
      <c r="C23" s="7" t="s">
        <v>138</v>
      </c>
      <c r="D23" s="8">
        <v>70000</v>
      </c>
      <c r="E23" s="9">
        <v>496.09</v>
      </c>
      <c r="F23" s="10">
        <v>2.0780059344295485E-2</v>
      </c>
      <c r="G23" s="5"/>
      <c r="H23" s="5"/>
      <c r="I23" s="6"/>
    </row>
    <row r="24" spans="1:9" x14ac:dyDescent="0.35">
      <c r="A24" s="7" t="s">
        <v>198</v>
      </c>
      <c r="B24" s="7" t="s">
        <v>43</v>
      </c>
      <c r="C24" s="7" t="s">
        <v>149</v>
      </c>
      <c r="D24" s="8">
        <v>46000</v>
      </c>
      <c r="E24" s="9">
        <v>489.9</v>
      </c>
      <c r="F24" s="10">
        <v>2.0520774602935672E-2</v>
      </c>
      <c r="G24" s="5"/>
      <c r="H24" s="5"/>
      <c r="I24" s="6"/>
    </row>
    <row r="25" spans="1:9" x14ac:dyDescent="0.35">
      <c r="A25" s="7" t="s">
        <v>44</v>
      </c>
      <c r="B25" s="7" t="s">
        <v>45</v>
      </c>
      <c r="C25" s="7" t="s">
        <v>138</v>
      </c>
      <c r="D25" s="8">
        <v>48002</v>
      </c>
      <c r="E25" s="9">
        <v>460.57918999999998</v>
      </c>
      <c r="F25" s="10">
        <v>1.9292593886084269E-2</v>
      </c>
      <c r="G25" s="5"/>
      <c r="H25" s="5"/>
      <c r="I25" s="6"/>
    </row>
    <row r="26" spans="1:9" x14ac:dyDescent="0.35">
      <c r="A26" s="7" t="s">
        <v>199</v>
      </c>
      <c r="B26" s="7" t="s">
        <v>46</v>
      </c>
      <c r="C26" s="7" t="s">
        <v>144</v>
      </c>
      <c r="D26" s="8">
        <v>9000</v>
      </c>
      <c r="E26" s="9">
        <v>431.81099999999998</v>
      </c>
      <c r="F26" s="10">
        <v>1.8087561139147286E-2</v>
      </c>
      <c r="G26" s="5"/>
      <c r="H26" s="5"/>
      <c r="I26" s="6"/>
    </row>
    <row r="27" spans="1:9" x14ac:dyDescent="0.35">
      <c r="A27" s="7" t="s">
        <v>47</v>
      </c>
      <c r="B27" s="7" t="s">
        <v>48</v>
      </c>
      <c r="C27" s="7" t="s">
        <v>148</v>
      </c>
      <c r="D27" s="8">
        <v>42502</v>
      </c>
      <c r="E27" s="9">
        <v>405.36282499999999</v>
      </c>
      <c r="F27" s="10">
        <v>1.6979708438935003E-2</v>
      </c>
      <c r="G27" s="5"/>
      <c r="H27" s="5"/>
      <c r="I27" s="6"/>
    </row>
    <row r="28" spans="1:9" x14ac:dyDescent="0.35">
      <c r="A28" s="7" t="s">
        <v>49</v>
      </c>
      <c r="B28" s="7" t="s">
        <v>50</v>
      </c>
      <c r="C28" s="7" t="s">
        <v>150</v>
      </c>
      <c r="D28" s="8">
        <v>60000</v>
      </c>
      <c r="E28" s="9">
        <v>391.92</v>
      </c>
      <c r="F28" s="10">
        <v>1.6416619682348539E-2</v>
      </c>
      <c r="G28" s="5"/>
      <c r="H28" s="5"/>
      <c r="I28" s="6"/>
    </row>
    <row r="29" spans="1:9" x14ac:dyDescent="0.35">
      <c r="A29" s="7" t="s">
        <v>51</v>
      </c>
      <c r="B29" s="7" t="s">
        <v>52</v>
      </c>
      <c r="C29" s="7" t="s">
        <v>151</v>
      </c>
      <c r="D29" s="8">
        <v>90000</v>
      </c>
      <c r="E29" s="9">
        <v>371.61</v>
      </c>
      <c r="F29" s="10">
        <v>1.5565880894461983E-2</v>
      </c>
      <c r="G29" s="5"/>
      <c r="H29" s="5"/>
      <c r="I29" s="6"/>
    </row>
    <row r="30" spans="1:9" x14ac:dyDescent="0.35">
      <c r="A30" s="7" t="s">
        <v>53</v>
      </c>
      <c r="B30" s="7" t="s">
        <v>54</v>
      </c>
      <c r="C30" s="7" t="s">
        <v>152</v>
      </c>
      <c r="D30" s="8">
        <v>13500</v>
      </c>
      <c r="E30" s="9">
        <v>358.6275</v>
      </c>
      <c r="F30" s="10">
        <v>1.5022074084332135E-2</v>
      </c>
      <c r="G30" s="5"/>
      <c r="H30" s="5"/>
      <c r="I30" s="6"/>
    </row>
    <row r="31" spans="1:9" x14ac:dyDescent="0.35">
      <c r="A31" s="7" t="s">
        <v>55</v>
      </c>
      <c r="B31" s="7" t="s">
        <v>56</v>
      </c>
      <c r="C31" s="7" t="s">
        <v>38</v>
      </c>
      <c r="D31" s="8">
        <v>20000</v>
      </c>
      <c r="E31" s="9">
        <v>358.28</v>
      </c>
      <c r="F31" s="10">
        <v>1.5007518115410887E-2</v>
      </c>
      <c r="G31" s="5"/>
      <c r="H31" s="5"/>
      <c r="I31" s="6"/>
    </row>
    <row r="32" spans="1:9" x14ac:dyDescent="0.35">
      <c r="A32" s="7" t="s">
        <v>204</v>
      </c>
      <c r="B32" s="7" t="s">
        <v>57</v>
      </c>
      <c r="C32" s="7" t="s">
        <v>38</v>
      </c>
      <c r="D32" s="8">
        <v>26000</v>
      </c>
      <c r="E32" s="9">
        <v>341.71800000000002</v>
      </c>
      <c r="F32" s="10">
        <v>1.4313774353472081E-2</v>
      </c>
      <c r="G32" s="5"/>
      <c r="H32" s="5"/>
      <c r="I32" s="6"/>
    </row>
    <row r="33" spans="1:9" x14ac:dyDescent="0.35">
      <c r="A33" s="7" t="s">
        <v>58</v>
      </c>
      <c r="B33" s="7" t="s">
        <v>59</v>
      </c>
      <c r="C33" s="7" t="s">
        <v>60</v>
      </c>
      <c r="D33" s="8">
        <v>105000</v>
      </c>
      <c r="E33" s="9">
        <v>338.88749999999999</v>
      </c>
      <c r="F33" s="10">
        <v>1.4195211274244465E-2</v>
      </c>
      <c r="G33" s="5"/>
      <c r="H33" s="5"/>
      <c r="I33" s="6"/>
    </row>
    <row r="34" spans="1:9" x14ac:dyDescent="0.35">
      <c r="A34" s="7" t="s">
        <v>61</v>
      </c>
      <c r="B34" s="7" t="s">
        <v>62</v>
      </c>
      <c r="C34" s="7" t="s">
        <v>148</v>
      </c>
      <c r="D34" s="8">
        <v>7000</v>
      </c>
      <c r="E34" s="9">
        <v>336</v>
      </c>
      <c r="F34" s="10">
        <v>1.4074260597236959E-2</v>
      </c>
      <c r="G34" s="5"/>
      <c r="H34" s="5"/>
      <c r="I34" s="6"/>
    </row>
    <row r="35" spans="1:9" x14ac:dyDescent="0.35">
      <c r="A35" s="7" t="s">
        <v>63</v>
      </c>
      <c r="B35" s="7" t="s">
        <v>64</v>
      </c>
      <c r="C35" s="7" t="s">
        <v>153</v>
      </c>
      <c r="D35" s="8">
        <v>3063</v>
      </c>
      <c r="E35" s="9">
        <v>333.07062000000002</v>
      </c>
      <c r="F35" s="10">
        <v>1.395155566417644E-2</v>
      </c>
      <c r="G35" s="5"/>
      <c r="H35" s="5"/>
      <c r="I35" s="6"/>
    </row>
    <row r="36" spans="1:9" x14ac:dyDescent="0.35">
      <c r="A36" s="7" t="s">
        <v>200</v>
      </c>
      <c r="B36" s="7" t="s">
        <v>65</v>
      </c>
      <c r="C36" s="7" t="s">
        <v>154</v>
      </c>
      <c r="D36" s="8">
        <v>83000</v>
      </c>
      <c r="E36" s="9">
        <v>330.71350000000001</v>
      </c>
      <c r="F36" s="10">
        <v>1.3852821375072396E-2</v>
      </c>
      <c r="G36" s="5"/>
      <c r="H36" s="5"/>
      <c r="I36" s="6"/>
    </row>
    <row r="37" spans="1:9" x14ac:dyDescent="0.35">
      <c r="A37" s="7" t="s">
        <v>66</v>
      </c>
      <c r="B37" s="7" t="s">
        <v>67</v>
      </c>
      <c r="C37" s="7" t="s">
        <v>143</v>
      </c>
      <c r="D37" s="8">
        <v>120000</v>
      </c>
      <c r="E37" s="9">
        <v>328.8</v>
      </c>
      <c r="F37" s="10">
        <v>1.3772669298724739E-2</v>
      </c>
      <c r="G37" s="5"/>
      <c r="H37" s="5"/>
      <c r="I37" s="6"/>
    </row>
    <row r="38" spans="1:9" x14ac:dyDescent="0.35">
      <c r="A38" s="7" t="s">
        <v>68</v>
      </c>
      <c r="B38" s="7" t="s">
        <v>69</v>
      </c>
      <c r="C38" s="7" t="s">
        <v>155</v>
      </c>
      <c r="D38" s="8">
        <v>80000</v>
      </c>
      <c r="E38" s="9">
        <v>325.60000000000002</v>
      </c>
      <c r="F38" s="10">
        <v>1.3638628721608197E-2</v>
      </c>
      <c r="G38" s="5"/>
      <c r="H38" s="5"/>
      <c r="I38" s="6"/>
    </row>
    <row r="39" spans="1:9" x14ac:dyDescent="0.35">
      <c r="A39" s="7" t="s">
        <v>201</v>
      </c>
      <c r="B39" s="7" t="s">
        <v>70</v>
      </c>
      <c r="C39" s="7" t="s">
        <v>154</v>
      </c>
      <c r="D39" s="8">
        <v>20000</v>
      </c>
      <c r="E39" s="9">
        <v>316.95999999999998</v>
      </c>
      <c r="F39" s="10">
        <v>1.3276719163393531E-2</v>
      </c>
      <c r="G39" s="5"/>
      <c r="H39" s="5"/>
      <c r="I39" s="6"/>
    </row>
    <row r="40" spans="1:9" x14ac:dyDescent="0.35">
      <c r="A40" s="7" t="s">
        <v>71</v>
      </c>
      <c r="B40" s="7" t="s">
        <v>72</v>
      </c>
      <c r="C40" s="7" t="s">
        <v>156</v>
      </c>
      <c r="D40" s="8">
        <v>80000</v>
      </c>
      <c r="E40" s="9">
        <v>314.95999999999998</v>
      </c>
      <c r="F40" s="10">
        <v>1.3192943802695692E-2</v>
      </c>
      <c r="G40" s="5"/>
      <c r="H40" s="5"/>
      <c r="I40" s="6"/>
    </row>
    <row r="41" spans="1:9" x14ac:dyDescent="0.35">
      <c r="A41" s="7" t="s">
        <v>73</v>
      </c>
      <c r="B41" s="7" t="s">
        <v>74</v>
      </c>
      <c r="C41" s="7" t="s">
        <v>153</v>
      </c>
      <c r="D41" s="8">
        <v>7000</v>
      </c>
      <c r="E41" s="9">
        <v>287.42</v>
      </c>
      <c r="F41" s="10">
        <v>1.203935708588645E-2</v>
      </c>
      <c r="G41" s="5"/>
      <c r="H41" s="5"/>
      <c r="I41" s="6"/>
    </row>
    <row r="42" spans="1:9" x14ac:dyDescent="0.35">
      <c r="A42" s="7" t="s">
        <v>75</v>
      </c>
      <c r="B42" s="7" t="s">
        <v>76</v>
      </c>
      <c r="C42" s="7" t="s">
        <v>157</v>
      </c>
      <c r="D42" s="8">
        <v>150000</v>
      </c>
      <c r="E42" s="9">
        <v>276.45</v>
      </c>
      <c r="F42" s="10">
        <v>1.1579849232458802E-2</v>
      </c>
      <c r="G42" s="5"/>
      <c r="H42" s="5"/>
      <c r="I42" s="6"/>
    </row>
    <row r="43" spans="1:9" x14ac:dyDescent="0.35">
      <c r="A43" s="7" t="s">
        <v>77</v>
      </c>
      <c r="B43" s="7" t="s">
        <v>78</v>
      </c>
      <c r="C43" s="7" t="s">
        <v>148</v>
      </c>
      <c r="D43" s="8">
        <v>20000</v>
      </c>
      <c r="E43" s="9">
        <v>275.86</v>
      </c>
      <c r="F43" s="10">
        <v>1.155513550105294E-2</v>
      </c>
      <c r="G43" s="5"/>
      <c r="H43" s="5"/>
      <c r="I43" s="6"/>
    </row>
    <row r="44" spans="1:9" x14ac:dyDescent="0.35">
      <c r="A44" s="7" t="s">
        <v>79</v>
      </c>
      <c r="B44" s="7" t="s">
        <v>80</v>
      </c>
      <c r="C44" s="7" t="s">
        <v>143</v>
      </c>
      <c r="D44" s="8">
        <v>12000</v>
      </c>
      <c r="E44" s="9">
        <v>273.68400000000003</v>
      </c>
      <c r="F44" s="10">
        <v>1.146398790861369E-2</v>
      </c>
      <c r="G44" s="5"/>
      <c r="H44" s="5"/>
      <c r="I44" s="6"/>
    </row>
    <row r="45" spans="1:9" x14ac:dyDescent="0.35">
      <c r="A45" s="7" t="s">
        <v>81</v>
      </c>
      <c r="B45" s="7" t="s">
        <v>82</v>
      </c>
      <c r="C45" s="7" t="s">
        <v>142</v>
      </c>
      <c r="D45" s="8">
        <v>24000</v>
      </c>
      <c r="E45" s="9">
        <v>268.8</v>
      </c>
      <c r="F45" s="10">
        <v>1.1259408477789567E-2</v>
      </c>
      <c r="G45" s="5"/>
      <c r="H45" s="5"/>
      <c r="I45" s="6"/>
    </row>
    <row r="46" spans="1:9" x14ac:dyDescent="0.35">
      <c r="A46" s="7" t="s">
        <v>83</v>
      </c>
      <c r="B46" s="7" t="s">
        <v>84</v>
      </c>
      <c r="C46" s="7" t="s">
        <v>139</v>
      </c>
      <c r="D46" s="8">
        <v>2000</v>
      </c>
      <c r="E46" s="9">
        <v>262</v>
      </c>
      <c r="F46" s="10">
        <v>1.0974572251416915E-2</v>
      </c>
      <c r="G46" s="5"/>
      <c r="H46" s="5"/>
      <c r="I46" s="6"/>
    </row>
    <row r="47" spans="1:9" x14ac:dyDescent="0.35">
      <c r="A47" s="7" t="s">
        <v>203</v>
      </c>
      <c r="B47" s="7" t="s">
        <v>85</v>
      </c>
      <c r="C47" s="7" t="s">
        <v>152</v>
      </c>
      <c r="D47" s="8">
        <v>11000</v>
      </c>
      <c r="E47" s="9">
        <v>261.25</v>
      </c>
      <c r="F47" s="10">
        <v>1.0943156491155225E-2</v>
      </c>
      <c r="G47" s="5"/>
      <c r="H47" s="5"/>
      <c r="I47" s="6"/>
    </row>
    <row r="48" spans="1:9" x14ac:dyDescent="0.35">
      <c r="A48" s="7" t="s">
        <v>86</v>
      </c>
      <c r="B48" s="7" t="s">
        <v>87</v>
      </c>
      <c r="C48" s="7" t="s">
        <v>158</v>
      </c>
      <c r="D48" s="8">
        <v>2455</v>
      </c>
      <c r="E48" s="9">
        <v>260.9665</v>
      </c>
      <c r="F48" s="10">
        <v>1.0931281333776306E-2</v>
      </c>
      <c r="G48" s="5"/>
      <c r="H48" s="5"/>
      <c r="I48" s="6"/>
    </row>
    <row r="49" spans="1:9" x14ac:dyDescent="0.35">
      <c r="A49" s="7" t="s">
        <v>202</v>
      </c>
      <c r="B49" s="7" t="s">
        <v>88</v>
      </c>
      <c r="C49" s="7" t="s">
        <v>148</v>
      </c>
      <c r="D49" s="8">
        <v>9000</v>
      </c>
      <c r="E49" s="9">
        <v>249.23699999999999</v>
      </c>
      <c r="F49" s="10">
        <v>1.0439959787123655E-2</v>
      </c>
      <c r="G49" s="5"/>
      <c r="H49" s="5"/>
      <c r="I49" s="6"/>
    </row>
    <row r="50" spans="1:9" x14ac:dyDescent="0.35">
      <c r="A50" s="7" t="s">
        <v>89</v>
      </c>
      <c r="B50" s="7" t="s">
        <v>90</v>
      </c>
      <c r="C50" s="7" t="s">
        <v>159</v>
      </c>
      <c r="D50" s="8">
        <v>150000</v>
      </c>
      <c r="E50" s="9">
        <v>246.19499999999999</v>
      </c>
      <c r="F50" s="10">
        <v>1.0312537463502242E-2</v>
      </c>
      <c r="G50" s="5"/>
      <c r="H50" s="5"/>
      <c r="I50" s="6"/>
    </row>
    <row r="51" spans="1:9" x14ac:dyDescent="0.35">
      <c r="A51" s="7" t="s">
        <v>91</v>
      </c>
      <c r="B51" s="7" t="s">
        <v>92</v>
      </c>
      <c r="C51" s="7" t="s">
        <v>139</v>
      </c>
      <c r="D51" s="8">
        <v>80000</v>
      </c>
      <c r="E51" s="9">
        <v>237.16</v>
      </c>
      <c r="F51" s="10">
        <v>9.9340822715497535E-3</v>
      </c>
      <c r="G51" s="5"/>
      <c r="H51" s="5"/>
      <c r="I51" s="6"/>
    </row>
    <row r="52" spans="1:9" x14ac:dyDescent="0.35">
      <c r="A52" s="7" t="s">
        <v>93</v>
      </c>
      <c r="B52" s="7" t="s">
        <v>94</v>
      </c>
      <c r="C52" s="7" t="s">
        <v>153</v>
      </c>
      <c r="D52" s="8">
        <v>8000</v>
      </c>
      <c r="E52" s="9">
        <v>236</v>
      </c>
      <c r="F52" s="10">
        <v>9.8854925623450066E-3</v>
      </c>
      <c r="G52" s="5"/>
      <c r="H52" s="5"/>
      <c r="I52" s="6"/>
    </row>
    <row r="53" spans="1:9" x14ac:dyDescent="0.35">
      <c r="A53" s="7" t="s">
        <v>95</v>
      </c>
      <c r="B53" s="7" t="s">
        <v>96</v>
      </c>
      <c r="C53" s="7" t="s">
        <v>158</v>
      </c>
      <c r="D53" s="8">
        <v>15001</v>
      </c>
      <c r="E53" s="9">
        <v>228.61524</v>
      </c>
      <c r="F53" s="10">
        <v>9.5761620960115208E-3</v>
      </c>
      <c r="G53" s="5"/>
      <c r="H53" s="5"/>
      <c r="I53" s="6"/>
    </row>
    <row r="54" spans="1:9" x14ac:dyDescent="0.35">
      <c r="A54" s="7" t="s">
        <v>97</v>
      </c>
      <c r="B54" s="7" t="s">
        <v>98</v>
      </c>
      <c r="C54" s="7" t="s">
        <v>142</v>
      </c>
      <c r="D54" s="8">
        <v>20000</v>
      </c>
      <c r="E54" s="9">
        <v>220.96</v>
      </c>
      <c r="F54" s="10">
        <v>9.2555018498972578E-3</v>
      </c>
      <c r="G54" s="5"/>
      <c r="H54" s="5"/>
      <c r="I54" s="6"/>
    </row>
    <row r="55" spans="1:9" x14ac:dyDescent="0.35">
      <c r="A55" s="7" t="s">
        <v>99</v>
      </c>
      <c r="B55" s="7" t="s">
        <v>100</v>
      </c>
      <c r="C55" s="7" t="s">
        <v>142</v>
      </c>
      <c r="D55" s="8">
        <v>47501</v>
      </c>
      <c r="E55" s="9">
        <v>207.10436000000001</v>
      </c>
      <c r="F55" s="10">
        <v>8.6751212305475542E-3</v>
      </c>
      <c r="G55" s="5"/>
      <c r="H55" s="5"/>
      <c r="I55" s="6"/>
    </row>
    <row r="56" spans="1:9" x14ac:dyDescent="0.35">
      <c r="A56" s="7" t="s">
        <v>101</v>
      </c>
      <c r="B56" s="7" t="s">
        <v>102</v>
      </c>
      <c r="C56" s="7" t="s">
        <v>148</v>
      </c>
      <c r="D56" s="8">
        <v>6565</v>
      </c>
      <c r="E56" s="9">
        <v>199.385615</v>
      </c>
      <c r="F56" s="10">
        <v>8.3518009072927335E-3</v>
      </c>
      <c r="G56" s="5"/>
      <c r="H56" s="5"/>
      <c r="I56" s="6"/>
    </row>
    <row r="57" spans="1:9" x14ac:dyDescent="0.35">
      <c r="A57" s="7" t="s">
        <v>103</v>
      </c>
      <c r="B57" s="7" t="s">
        <v>104</v>
      </c>
      <c r="C57" s="7" t="s">
        <v>160</v>
      </c>
      <c r="D57" s="8">
        <v>450000</v>
      </c>
      <c r="E57" s="9">
        <v>191.61</v>
      </c>
      <c r="F57" s="10">
        <v>8.0260984316564699E-3</v>
      </c>
      <c r="G57" s="5"/>
      <c r="H57" s="5"/>
      <c r="I57" s="6"/>
    </row>
    <row r="58" spans="1:9" x14ac:dyDescent="0.35">
      <c r="A58" s="7" t="s">
        <v>105</v>
      </c>
      <c r="B58" s="7" t="s">
        <v>106</v>
      </c>
      <c r="C58" s="7" t="s">
        <v>158</v>
      </c>
      <c r="D58" s="8">
        <v>8100</v>
      </c>
      <c r="E58" s="9">
        <v>174.50640000000001</v>
      </c>
      <c r="F58" s="10">
        <v>7.3096683020406894E-3</v>
      </c>
      <c r="G58" s="5"/>
      <c r="H58" s="5"/>
      <c r="I58" s="6"/>
    </row>
    <row r="59" spans="1:9" x14ac:dyDescent="0.35">
      <c r="A59" s="7" t="s">
        <v>206</v>
      </c>
      <c r="B59" s="7" t="s">
        <v>113</v>
      </c>
      <c r="C59" s="7" t="s">
        <v>149</v>
      </c>
      <c r="D59" s="8">
        <v>35000</v>
      </c>
      <c r="E59" s="9">
        <v>163.88749999999999</v>
      </c>
      <c r="F59" s="10">
        <v>6.8648672131835483E-3</v>
      </c>
      <c r="G59" s="5"/>
      <c r="H59" s="5"/>
      <c r="I59" s="6"/>
    </row>
    <row r="60" spans="1:9" x14ac:dyDescent="0.35">
      <c r="A60" s="7" t="s">
        <v>107</v>
      </c>
      <c r="B60" s="7" t="s">
        <v>108</v>
      </c>
      <c r="C60" s="7" t="s">
        <v>142</v>
      </c>
      <c r="D60" s="8">
        <v>20000</v>
      </c>
      <c r="E60" s="9">
        <v>143.84</v>
      </c>
      <c r="F60" s="10">
        <v>6.0251239413885837E-3</v>
      </c>
      <c r="G60" s="5"/>
      <c r="H60" s="5"/>
      <c r="I60" s="6"/>
    </row>
    <row r="61" spans="1:9" x14ac:dyDescent="0.35">
      <c r="A61" s="7" t="s">
        <v>109</v>
      </c>
      <c r="B61" s="7" t="s">
        <v>110</v>
      </c>
      <c r="C61" s="7" t="s">
        <v>149</v>
      </c>
      <c r="D61" s="8">
        <v>35000</v>
      </c>
      <c r="E61" s="9">
        <v>83.177499999999995</v>
      </c>
      <c r="F61" s="10">
        <v>3.4841125322222534E-3</v>
      </c>
      <c r="G61" s="5"/>
      <c r="H61" s="5"/>
      <c r="I61" s="6"/>
    </row>
    <row r="62" spans="1:9" x14ac:dyDescent="0.35">
      <c r="A62" s="4" t="s">
        <v>111</v>
      </c>
      <c r="B62" s="7"/>
      <c r="C62" s="7"/>
      <c r="D62" s="8"/>
      <c r="E62" s="11">
        <f>SUM(E7:E61)</f>
        <v>23442.925510199999</v>
      </c>
      <c r="F62" s="12">
        <f>SUM(F7:F61)</f>
        <v>0.9819697702147886</v>
      </c>
      <c r="G62" s="5"/>
      <c r="H62" s="5"/>
      <c r="I62" s="6"/>
    </row>
    <row r="63" spans="1:9" x14ac:dyDescent="0.35">
      <c r="A63" s="4" t="s">
        <v>112</v>
      </c>
      <c r="B63" s="7"/>
      <c r="C63" s="7"/>
      <c r="D63" s="8"/>
      <c r="E63" s="9"/>
      <c r="F63" s="10"/>
      <c r="G63" s="5"/>
      <c r="H63" s="5"/>
      <c r="I63" s="6"/>
    </row>
    <row r="64" spans="1:9" x14ac:dyDescent="0.35">
      <c r="A64" s="4" t="s">
        <v>111</v>
      </c>
      <c r="B64" s="7"/>
      <c r="C64" s="7"/>
      <c r="D64" s="8"/>
      <c r="E64" s="11" t="s">
        <v>115</v>
      </c>
      <c r="F64" s="12" t="s">
        <v>115</v>
      </c>
      <c r="G64" s="5"/>
      <c r="H64" s="5"/>
      <c r="I64" s="6"/>
    </row>
    <row r="65" spans="1:9" x14ac:dyDescent="0.35">
      <c r="A65" s="4" t="s">
        <v>114</v>
      </c>
      <c r="B65" s="7"/>
      <c r="C65" s="7"/>
      <c r="D65" s="8"/>
      <c r="E65" s="9"/>
      <c r="F65" s="10"/>
      <c r="G65" s="5"/>
      <c r="H65" s="5"/>
      <c r="I65" s="6"/>
    </row>
    <row r="66" spans="1:9" x14ac:dyDescent="0.35">
      <c r="A66" s="4" t="s">
        <v>111</v>
      </c>
      <c r="B66" s="7"/>
      <c r="C66" s="7"/>
      <c r="D66" s="8"/>
      <c r="E66" s="11" t="s">
        <v>115</v>
      </c>
      <c r="F66" s="12" t="s">
        <v>115</v>
      </c>
      <c r="G66" s="5"/>
      <c r="H66" s="5"/>
      <c r="I66" s="6"/>
    </row>
    <row r="67" spans="1:9" x14ac:dyDescent="0.35">
      <c r="A67" s="4" t="s">
        <v>116</v>
      </c>
      <c r="B67" s="7"/>
      <c r="C67" s="7"/>
      <c r="D67" s="8"/>
      <c r="E67" s="11">
        <v>23442.925510199999</v>
      </c>
      <c r="F67" s="12">
        <v>0.9819697702147886</v>
      </c>
      <c r="G67" s="5"/>
      <c r="H67" s="5"/>
      <c r="I67" s="6"/>
    </row>
    <row r="68" spans="1:9" x14ac:dyDescent="0.35">
      <c r="A68" s="7"/>
      <c r="B68" s="7"/>
      <c r="C68" s="7"/>
      <c r="D68" s="8"/>
      <c r="E68" s="9"/>
      <c r="F68" s="10"/>
      <c r="G68" s="5"/>
      <c r="H68" s="5"/>
      <c r="I68" s="6"/>
    </row>
    <row r="69" spans="1:9" x14ac:dyDescent="0.35">
      <c r="A69" s="1"/>
    </row>
    <row r="70" spans="1:9" x14ac:dyDescent="0.35">
      <c r="A70" s="4" t="s">
        <v>117</v>
      </c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4" t="s">
        <v>118</v>
      </c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4" t="s">
        <v>111</v>
      </c>
      <c r="B72" s="5"/>
      <c r="C72" s="5"/>
      <c r="D72" s="5"/>
      <c r="E72" s="13" t="s">
        <v>115</v>
      </c>
      <c r="F72" s="13" t="s">
        <v>115</v>
      </c>
      <c r="G72" s="5"/>
      <c r="H72" s="5"/>
      <c r="I72" s="6"/>
    </row>
    <row r="73" spans="1:9" x14ac:dyDescent="0.35">
      <c r="A73" s="4" t="s">
        <v>119</v>
      </c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4" t="s">
        <v>111</v>
      </c>
      <c r="B74" s="5"/>
      <c r="C74" s="5"/>
      <c r="D74" s="5"/>
      <c r="E74" s="13" t="s">
        <v>115</v>
      </c>
      <c r="F74" s="13" t="s">
        <v>115</v>
      </c>
      <c r="G74" s="5"/>
      <c r="H74" s="5"/>
      <c r="I74" s="6"/>
    </row>
    <row r="75" spans="1:9" x14ac:dyDescent="0.35">
      <c r="A75" s="4" t="s">
        <v>120</v>
      </c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4" t="s">
        <v>111</v>
      </c>
      <c r="B76" s="5"/>
      <c r="C76" s="5"/>
      <c r="D76" s="5"/>
      <c r="E76" s="13" t="s">
        <v>115</v>
      </c>
      <c r="F76" s="13" t="s">
        <v>115</v>
      </c>
      <c r="G76" s="5"/>
      <c r="H76" s="5"/>
      <c r="I76" s="6"/>
    </row>
    <row r="77" spans="1:9" x14ac:dyDescent="0.35">
      <c r="A77" s="4" t="s">
        <v>116</v>
      </c>
      <c r="B77" s="5"/>
      <c r="C77" s="5"/>
      <c r="D77" s="5"/>
      <c r="E77" s="13" t="s">
        <v>115</v>
      </c>
      <c r="F77" s="13" t="s">
        <v>115</v>
      </c>
      <c r="G77" s="5"/>
      <c r="H77" s="5"/>
      <c r="I77" s="5"/>
    </row>
    <row r="78" spans="1:9" x14ac:dyDescent="0.35">
      <c r="A78" s="1"/>
    </row>
    <row r="79" spans="1:9" x14ac:dyDescent="0.35">
      <c r="A79" s="4" t="s">
        <v>121</v>
      </c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4" t="s">
        <v>122</v>
      </c>
      <c r="B80" s="5"/>
      <c r="C80" s="5"/>
      <c r="D80" s="5"/>
      <c r="E80" s="5"/>
      <c r="F80" s="5"/>
      <c r="G80" s="5"/>
      <c r="H80" s="5"/>
      <c r="I80" s="5"/>
    </row>
    <row r="81" spans="1:13" x14ac:dyDescent="0.35">
      <c r="A81" s="7" t="s">
        <v>123</v>
      </c>
      <c r="B81" s="7" t="s">
        <v>124</v>
      </c>
      <c r="C81" s="6"/>
      <c r="D81" s="8">
        <v>490000</v>
      </c>
      <c r="E81" s="9">
        <v>490</v>
      </c>
      <c r="F81" s="10">
        <v>2.0524963370970567E-2</v>
      </c>
      <c r="G81" s="6"/>
      <c r="H81" s="6"/>
      <c r="I81" s="6"/>
    </row>
    <row r="82" spans="1:13" x14ac:dyDescent="0.35">
      <c r="A82" s="4" t="s">
        <v>111</v>
      </c>
      <c r="B82" s="5"/>
      <c r="C82" s="5"/>
      <c r="D82" s="5"/>
      <c r="E82" s="11">
        <v>490</v>
      </c>
      <c r="F82" s="12">
        <v>2.0524963370970567E-2</v>
      </c>
      <c r="G82" s="5"/>
      <c r="H82" s="5"/>
      <c r="I82" s="6"/>
    </row>
    <row r="83" spans="1:13" x14ac:dyDescent="0.35">
      <c r="A83" s="4" t="s">
        <v>116</v>
      </c>
      <c r="B83" s="5"/>
      <c r="C83" s="5"/>
      <c r="D83" s="5"/>
      <c r="E83" s="11">
        <v>490</v>
      </c>
      <c r="F83" s="12">
        <v>2.0524963370970567E-2</v>
      </c>
      <c r="G83" s="5"/>
      <c r="H83" s="5"/>
      <c r="I83" s="5"/>
    </row>
    <row r="84" spans="1:13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13" x14ac:dyDescent="0.35">
      <c r="A85" s="4" t="s">
        <v>125</v>
      </c>
      <c r="B85" s="5"/>
      <c r="C85" s="5"/>
      <c r="D85" s="5"/>
      <c r="E85" s="5"/>
      <c r="F85" s="5"/>
      <c r="G85" s="5"/>
      <c r="H85" s="5"/>
      <c r="I85" s="5"/>
    </row>
    <row r="86" spans="1:13" x14ac:dyDescent="0.35">
      <c r="A86" s="7" t="s">
        <v>161</v>
      </c>
      <c r="B86" s="5"/>
      <c r="C86" s="5"/>
      <c r="D86" s="5"/>
      <c r="E86" s="43">
        <v>0</v>
      </c>
      <c r="F86" s="43">
        <v>0</v>
      </c>
      <c r="G86" s="5"/>
      <c r="H86" s="5"/>
      <c r="I86" s="5"/>
    </row>
    <row r="87" spans="1:13" x14ac:dyDescent="0.35">
      <c r="A87" s="7" t="s">
        <v>162</v>
      </c>
      <c r="B87" s="5"/>
      <c r="C87" s="5"/>
      <c r="D87" s="5"/>
      <c r="E87" s="9">
        <v>7.0020741000000006</v>
      </c>
      <c r="F87" s="10">
        <f t="shared" ref="F87:F88" si="0">E87/$E$91</f>
        <v>2.9330064168024835E-4</v>
      </c>
      <c r="G87" s="5"/>
      <c r="H87" s="5"/>
      <c r="I87" s="5"/>
    </row>
    <row r="88" spans="1:13" x14ac:dyDescent="0.35">
      <c r="A88" s="7" t="s">
        <v>126</v>
      </c>
      <c r="B88" s="5"/>
      <c r="C88" s="5"/>
      <c r="D88" s="5"/>
      <c r="E88" s="9">
        <f>E89-E86-E87</f>
        <v>-66.559766600000003</v>
      </c>
      <c r="F88" s="10">
        <f t="shared" si="0"/>
        <v>-2.78803422743949E-3</v>
      </c>
      <c r="G88" s="5"/>
      <c r="H88" s="5"/>
      <c r="I88" s="5"/>
    </row>
    <row r="89" spans="1:13" x14ac:dyDescent="0.35">
      <c r="A89" s="4" t="s">
        <v>116</v>
      </c>
      <c r="B89" s="5"/>
      <c r="C89" s="5"/>
      <c r="D89" s="5"/>
      <c r="E89" s="11">
        <v>-59.557692500000002</v>
      </c>
      <c r="F89" s="12">
        <v>-2.4947335857592417E-3</v>
      </c>
      <c r="G89" s="5"/>
      <c r="H89" s="5"/>
      <c r="I89" s="5"/>
    </row>
    <row r="90" spans="1:13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13" x14ac:dyDescent="0.35">
      <c r="A91" s="4" t="s">
        <v>127</v>
      </c>
      <c r="B91" s="5"/>
      <c r="C91" s="5"/>
      <c r="D91" s="5"/>
      <c r="E91" s="11">
        <v>23873.3678177</v>
      </c>
      <c r="F91" s="12">
        <v>1</v>
      </c>
      <c r="G91" s="5"/>
      <c r="H91" s="5"/>
      <c r="I91" s="5"/>
    </row>
    <row r="92" spans="1:13" x14ac:dyDescent="0.35">
      <c r="A92" s="50" t="s">
        <v>128</v>
      </c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</row>
    <row r="93" spans="1:13" x14ac:dyDescent="0.35">
      <c r="A93" s="14" t="s">
        <v>205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x14ac:dyDescent="0.3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x14ac:dyDescent="0.35">
      <c r="A95" s="17" t="s">
        <v>165</v>
      </c>
      <c r="B95" s="18"/>
      <c r="C95" s="18"/>
      <c r="D95" s="18"/>
      <c r="E95" s="19"/>
      <c r="F95" s="20"/>
      <c r="G95" s="18"/>
      <c r="H95" s="18"/>
    </row>
    <row r="96" spans="1:13" x14ac:dyDescent="0.35">
      <c r="A96" s="21" t="s">
        <v>177</v>
      </c>
      <c r="B96" s="18"/>
      <c r="C96" s="18"/>
      <c r="D96" s="18"/>
      <c r="E96" s="19"/>
      <c r="F96" s="20"/>
      <c r="G96" s="18"/>
      <c r="H96" s="18"/>
    </row>
    <row r="97" spans="1:8" x14ac:dyDescent="0.35">
      <c r="A97" s="22"/>
      <c r="B97" s="18"/>
      <c r="C97" s="18"/>
      <c r="D97" s="18"/>
      <c r="E97" s="19"/>
      <c r="F97" s="20"/>
      <c r="G97" s="18"/>
      <c r="H97" s="18"/>
    </row>
    <row r="98" spans="1:8" x14ac:dyDescent="0.35">
      <c r="A98" s="23" t="s">
        <v>184</v>
      </c>
      <c r="B98" s="24"/>
      <c r="C98" s="24"/>
      <c r="D98" s="24"/>
      <c r="E98" s="25"/>
      <c r="F98" s="26"/>
      <c r="G98" s="18"/>
      <c r="H98" s="18"/>
    </row>
    <row r="99" spans="1:8" x14ac:dyDescent="0.35">
      <c r="A99" s="22"/>
      <c r="B99" s="18"/>
      <c r="C99" s="18"/>
      <c r="D99" s="18"/>
      <c r="E99" s="19"/>
      <c r="F99" s="20"/>
      <c r="G99" s="18"/>
      <c r="H99" s="18"/>
    </row>
    <row r="100" spans="1:8" x14ac:dyDescent="0.35">
      <c r="A100" s="23" t="s">
        <v>178</v>
      </c>
      <c r="B100" s="27"/>
      <c r="C100" s="27"/>
      <c r="D100" s="27"/>
      <c r="E100" s="28"/>
      <c r="F100" s="29"/>
      <c r="G100" s="18"/>
      <c r="H100" s="18"/>
    </row>
    <row r="101" spans="1:8" x14ac:dyDescent="0.35">
      <c r="A101" s="22"/>
      <c r="B101" s="18"/>
      <c r="C101" s="18"/>
      <c r="D101" s="18"/>
      <c r="E101" s="19"/>
      <c r="F101" s="20"/>
      <c r="G101" s="18"/>
      <c r="H101" s="18"/>
    </row>
    <row r="102" spans="1:8" x14ac:dyDescent="0.35">
      <c r="A102" s="23" t="s">
        <v>185</v>
      </c>
      <c r="B102" s="18"/>
      <c r="C102" s="18"/>
      <c r="D102" s="18"/>
      <c r="E102" s="19"/>
      <c r="F102" s="20"/>
      <c r="G102" s="18"/>
      <c r="H102" s="18"/>
    </row>
    <row r="103" spans="1:8" x14ac:dyDescent="0.35">
      <c r="A103" s="23"/>
      <c r="B103" s="18"/>
      <c r="C103" s="18"/>
      <c r="D103" s="18"/>
      <c r="E103" s="19"/>
      <c r="F103" s="20"/>
      <c r="G103" s="18"/>
      <c r="H103" s="18"/>
    </row>
    <row r="104" spans="1:8" x14ac:dyDescent="0.35">
      <c r="A104" s="23" t="s">
        <v>179</v>
      </c>
      <c r="B104" s="27"/>
      <c r="C104" s="30"/>
      <c r="D104" s="27"/>
      <c r="E104" s="28"/>
      <c r="F104" s="31"/>
      <c r="G104" s="18"/>
      <c r="H104" s="18"/>
    </row>
    <row r="105" spans="1:8" x14ac:dyDescent="0.35">
      <c r="A105" s="23"/>
      <c r="B105" s="27"/>
      <c r="C105" s="30"/>
      <c r="D105" s="27"/>
      <c r="E105" s="28"/>
      <c r="F105" s="31"/>
      <c r="G105" s="18"/>
      <c r="H105" s="18"/>
    </row>
    <row r="106" spans="1:8" x14ac:dyDescent="0.35">
      <c r="A106" s="23" t="s">
        <v>186</v>
      </c>
      <c r="B106" s="27"/>
      <c r="C106" s="30"/>
      <c r="D106" s="27"/>
      <c r="E106" s="28"/>
      <c r="F106" s="31"/>
      <c r="G106" s="18"/>
      <c r="H106" s="18"/>
    </row>
    <row r="107" spans="1:8" x14ac:dyDescent="0.35">
      <c r="A107" s="23"/>
      <c r="B107" s="27"/>
      <c r="C107" s="30"/>
      <c r="D107" s="27"/>
      <c r="E107" s="28"/>
      <c r="F107" s="31"/>
      <c r="G107" s="18"/>
      <c r="H107" s="18"/>
    </row>
    <row r="108" spans="1:8" x14ac:dyDescent="0.35">
      <c r="A108" s="23" t="s">
        <v>180</v>
      </c>
      <c r="B108" s="32"/>
      <c r="C108" s="27"/>
      <c r="D108" s="33"/>
      <c r="E108" s="28"/>
      <c r="F108" s="31"/>
      <c r="G108" s="18"/>
      <c r="H108" s="18"/>
    </row>
    <row r="109" spans="1:8" x14ac:dyDescent="0.35">
      <c r="A109" s="23"/>
      <c r="B109" s="32"/>
      <c r="C109" s="27"/>
      <c r="D109" s="33"/>
      <c r="E109" s="28"/>
      <c r="F109" s="31"/>
      <c r="G109" s="18"/>
      <c r="H109" s="18"/>
    </row>
    <row r="110" spans="1:8" x14ac:dyDescent="0.35">
      <c r="A110" s="23" t="s">
        <v>187</v>
      </c>
      <c r="B110" s="32"/>
      <c r="C110" s="27"/>
      <c r="D110" s="33"/>
      <c r="E110" s="28"/>
      <c r="F110" s="31"/>
      <c r="G110" s="18"/>
      <c r="H110" s="18"/>
    </row>
    <row r="111" spans="1:8" x14ac:dyDescent="0.35">
      <c r="A111" s="22"/>
      <c r="B111" s="18"/>
      <c r="C111" s="18"/>
      <c r="D111" s="18"/>
      <c r="E111" s="19"/>
      <c r="F111" s="34"/>
      <c r="G111" s="18"/>
      <c r="H111" s="18"/>
    </row>
    <row r="112" spans="1:8" x14ac:dyDescent="0.35">
      <c r="A112" s="23" t="s">
        <v>181</v>
      </c>
      <c r="B112" s="35"/>
      <c r="C112" s="35"/>
      <c r="D112" s="35"/>
      <c r="E112" s="35"/>
      <c r="F112" s="31"/>
      <c r="G112" s="18"/>
      <c r="H112" s="18"/>
    </row>
    <row r="113" spans="1:13" x14ac:dyDescent="0.35">
      <c r="A113" s="26"/>
      <c r="B113" s="35"/>
      <c r="C113" s="35"/>
      <c r="D113" s="35"/>
      <c r="E113" s="35"/>
      <c r="F113" s="31"/>
      <c r="G113" s="18"/>
      <c r="H113" s="18"/>
    </row>
    <row r="114" spans="1:13" x14ac:dyDescent="0.35">
      <c r="A114" s="36" t="s">
        <v>182</v>
      </c>
      <c r="B114" s="35"/>
      <c r="C114" s="35"/>
      <c r="D114" s="35"/>
      <c r="E114" s="35"/>
      <c r="F114" s="31"/>
      <c r="G114" s="18"/>
      <c r="H114" s="18"/>
    </row>
    <row r="115" spans="1:13" x14ac:dyDescent="0.35">
      <c r="A115" s="26"/>
      <c r="B115" s="35"/>
      <c r="C115" s="35"/>
      <c r="D115" s="35"/>
      <c r="E115" s="35"/>
      <c r="F115" s="20"/>
      <c r="G115" s="18"/>
      <c r="H115" s="18"/>
    </row>
    <row r="116" spans="1:13" x14ac:dyDescent="0.35">
      <c r="A116" s="36" t="s">
        <v>183</v>
      </c>
      <c r="B116" s="35"/>
      <c r="C116" s="35"/>
      <c r="D116" s="35"/>
      <c r="E116" s="35"/>
      <c r="F116" s="20"/>
      <c r="G116" s="18"/>
      <c r="H116" s="18"/>
    </row>
    <row r="117" spans="1:13" x14ac:dyDescent="0.35">
      <c r="A117" s="1"/>
    </row>
    <row r="118" spans="1:13" x14ac:dyDescent="0.35">
      <c r="A118" s="51" t="s">
        <v>129</v>
      </c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</row>
    <row r="119" spans="1:13" x14ac:dyDescent="0.35">
      <c r="A119" s="50" t="s">
        <v>130</v>
      </c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</row>
    <row r="120" spans="1:13" x14ac:dyDescent="0.35">
      <c r="A120" s="50" t="s">
        <v>131</v>
      </c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</row>
    <row r="121" spans="1:13" ht="25" x14ac:dyDescent="0.35">
      <c r="A121" s="4" t="s">
        <v>132</v>
      </c>
      <c r="B121" s="2" t="s">
        <v>133</v>
      </c>
      <c r="C121" s="2" t="s">
        <v>134</v>
      </c>
    </row>
    <row r="122" spans="1:13" x14ac:dyDescent="0.35">
      <c r="A122" s="16" t="s">
        <v>163</v>
      </c>
      <c r="B122" s="15">
        <v>10.6065</v>
      </c>
      <c r="C122" s="15">
        <v>10.853999999999999</v>
      </c>
    </row>
    <row r="123" spans="1:13" x14ac:dyDescent="0.35">
      <c r="A123" s="16" t="s">
        <v>164</v>
      </c>
      <c r="B123" s="15">
        <v>10.426500000000001</v>
      </c>
      <c r="C123" s="15">
        <v>10.6812</v>
      </c>
    </row>
    <row r="124" spans="1:13" x14ac:dyDescent="0.35">
      <c r="A124" s="52"/>
      <c r="B124" s="53"/>
      <c r="C124" s="54"/>
    </row>
    <row r="125" spans="1:13" x14ac:dyDescent="0.35">
      <c r="A125" s="46" t="s">
        <v>188</v>
      </c>
      <c r="B125" s="47"/>
      <c r="C125" s="48"/>
    </row>
    <row r="126" spans="1:13" x14ac:dyDescent="0.35">
      <c r="A126" s="46" t="s">
        <v>189</v>
      </c>
      <c r="B126" s="47"/>
      <c r="C126" s="48"/>
    </row>
    <row r="127" spans="1:13" x14ac:dyDescent="0.35">
      <c r="A127" s="46" t="s">
        <v>135</v>
      </c>
      <c r="B127" s="47"/>
      <c r="C127" s="48"/>
    </row>
    <row r="128" spans="1:13" x14ac:dyDescent="0.35">
      <c r="A128" s="46" t="s">
        <v>195</v>
      </c>
      <c r="B128" s="47"/>
      <c r="C128" s="48"/>
    </row>
    <row r="129" spans="1:4" x14ac:dyDescent="0.35">
      <c r="A129" s="46" t="s">
        <v>136</v>
      </c>
      <c r="B129" s="47"/>
      <c r="C129" s="48"/>
    </row>
    <row r="130" spans="1:4" x14ac:dyDescent="0.35">
      <c r="A130" s="46" t="s">
        <v>190</v>
      </c>
      <c r="B130" s="47"/>
      <c r="C130" s="48"/>
    </row>
    <row r="131" spans="1:4" x14ac:dyDescent="0.35">
      <c r="A131" s="46" t="s">
        <v>194</v>
      </c>
      <c r="B131" s="47"/>
      <c r="C131" s="48"/>
    </row>
    <row r="132" spans="1:4" x14ac:dyDescent="0.35">
      <c r="A132" s="46" t="s">
        <v>137</v>
      </c>
      <c r="B132" s="47"/>
      <c r="C132" s="48"/>
    </row>
    <row r="133" spans="1:4" x14ac:dyDescent="0.35">
      <c r="A133" s="67" t="s">
        <v>166</v>
      </c>
      <c r="B133" s="68"/>
      <c r="C133" s="69"/>
    </row>
    <row r="134" spans="1:4" x14ac:dyDescent="0.35">
      <c r="A134" s="70" t="s">
        <v>167</v>
      </c>
      <c r="B134" s="70"/>
      <c r="C134" s="70"/>
    </row>
    <row r="135" spans="1:4" x14ac:dyDescent="0.35">
      <c r="A135" s="64" t="s">
        <v>168</v>
      </c>
      <c r="B135" s="65"/>
      <c r="C135" s="66"/>
    </row>
    <row r="136" spans="1:4" x14ac:dyDescent="0.35">
      <c r="A136" s="1"/>
    </row>
    <row r="137" spans="1:4" x14ac:dyDescent="0.35">
      <c r="A137" s="37" t="s">
        <v>169</v>
      </c>
      <c r="B137" s="37"/>
      <c r="C137" s="37"/>
      <c r="D137" s="37"/>
    </row>
    <row r="138" spans="1:4" x14ac:dyDescent="0.35">
      <c r="A138" s="49" t="s">
        <v>170</v>
      </c>
      <c r="B138" s="49"/>
      <c r="C138" s="49"/>
      <c r="D138" s="49"/>
    </row>
    <row r="139" spans="1:4" x14ac:dyDescent="0.35">
      <c r="A139" s="49" t="s">
        <v>171</v>
      </c>
      <c r="B139" s="49"/>
      <c r="C139" s="49"/>
      <c r="D139" s="49"/>
    </row>
    <row r="140" spans="1:4" x14ac:dyDescent="0.35">
      <c r="A140" s="49" t="s">
        <v>172</v>
      </c>
      <c r="B140" s="49"/>
      <c r="C140" s="49"/>
      <c r="D140" s="49"/>
    </row>
    <row r="142" spans="1:4" ht="28.75" customHeight="1" x14ac:dyDescent="0.35">
      <c r="A142" s="38" t="s">
        <v>173</v>
      </c>
      <c r="B142" s="55" t="s">
        <v>174</v>
      </c>
      <c r="C142" s="56"/>
      <c r="D142" s="39"/>
    </row>
    <row r="153" spans="1:3" x14ac:dyDescent="0.35">
      <c r="B153" s="57"/>
      <c r="C153" s="57"/>
    </row>
    <row r="155" spans="1:3" x14ac:dyDescent="0.35">
      <c r="A155" s="40" t="s">
        <v>175</v>
      </c>
      <c r="B155" s="57" t="s">
        <v>176</v>
      </c>
      <c r="C155" s="57"/>
    </row>
  </sheetData>
  <mergeCells count="25">
    <mergeCell ref="B142:C142"/>
    <mergeCell ref="B153:C153"/>
    <mergeCell ref="B155:C155"/>
    <mergeCell ref="A1:H1"/>
    <mergeCell ref="A2:H2"/>
    <mergeCell ref="A3:H3"/>
    <mergeCell ref="A135:C135"/>
    <mergeCell ref="A126:C126"/>
    <mergeCell ref="A138:D138"/>
    <mergeCell ref="A139:D139"/>
    <mergeCell ref="A130:C130"/>
    <mergeCell ref="A131:C131"/>
    <mergeCell ref="A132:C132"/>
    <mergeCell ref="A133:C133"/>
    <mergeCell ref="A134:C134"/>
    <mergeCell ref="A125:C125"/>
    <mergeCell ref="A127:C127"/>
    <mergeCell ref="A128:C128"/>
    <mergeCell ref="A129:C129"/>
    <mergeCell ref="A140:D140"/>
    <mergeCell ref="A92:M92"/>
    <mergeCell ref="A118:M118"/>
    <mergeCell ref="A119:M119"/>
    <mergeCell ref="A120:M120"/>
    <mergeCell ref="A124:C124"/>
  </mergeCells>
  <hyperlinks>
    <hyperlink ref="A134" r:id="rId1" display="https://unifimf.com/wp-content/uploads/fund-sheets/Scheme_Performance_Flexicap_Feb.xlsx" xr:uid="{681F1585-D2CF-4ADF-A381-321A072E5159}"/>
    <hyperlink ref="A134:C134" r:id="rId2" display="12) For more details on Scheme Performance, please refer to the following link : Click here" xr:uid="{DCD7486B-2DBD-4ED6-81E5-93E3AD212089}"/>
    <hyperlink ref="A135" r:id="rId3" display="Click here" xr:uid="{5662BF40-2170-4114-9389-BCEF43D346AD}"/>
    <hyperlink ref="A135:C135" r:id="rId4" display="10) For disclosure of category wise portfolio overlap levels in Unifi Mutual Fund Schemes, please refer to the following link : Click here" xr:uid="{3D2B7B5F-E53B-41BC-990D-F0C5168FBADC}"/>
  </hyperlinks>
  <pageMargins left="0.7" right="0.7" top="0.75" bottom="0.75" header="0.3" footer="0.3"/>
  <headerFooter>
    <oddHeader>&amp;C&amp;"Aptos"&amp;11&amp;K0000FF Classification - Internal&amp;1#_x000D_</oddHeader>
    <oddFooter>&amp;C_x000D_&amp;1#&amp;"Aptos"&amp;11&amp;K0000FF Classification - Internal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 Flexi Cap Fund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2026-10-02T06:30:29Z</dcterms:created>
  <dcterms:modified xsi:type="dcterms:W3CDTF">2026-10-08T08:28:10Z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ba8fb0-bbb8-454c-aa98-661329b3f27f_Enabled">
    <vt:lpwstr>true</vt:lpwstr>
  </property>
  <property fmtid="{D5CDD505-2E9C-101B-9397-08002B2CF9AE}" pid="3" name="MSIP_Label_e3ba8fb0-bbb8-454c-aa98-661329b3f27f_SetDate">
    <vt:lpwstr>2026-10-06T10:04:11Z</vt:lpwstr>
  </property>
  <property fmtid="{D5CDD505-2E9C-101B-9397-08002B2CF9AE}" pid="4" name="MSIP_Label_e3ba8fb0-bbb8-454c-aa98-661329b3f27f_Method">
    <vt:lpwstr>Privileged</vt:lpwstr>
  </property>
  <property fmtid="{D5CDD505-2E9C-101B-9397-08002B2CF9AE}" pid="5" name="MSIP_Label_e3ba8fb0-bbb8-454c-aa98-661329b3f27f_Name">
    <vt:lpwstr>Internal (General)!</vt:lpwstr>
  </property>
  <property fmtid="{D5CDD505-2E9C-101B-9397-08002B2CF9AE}" pid="6" name="MSIP_Label_e3ba8fb0-bbb8-454c-aa98-661329b3f27f_SiteId">
    <vt:lpwstr>827fd022-05a6-4e57-be9c-cc069b6ae62d</vt:lpwstr>
  </property>
  <property fmtid="{D5CDD505-2E9C-101B-9397-08002B2CF9AE}" pid="7" name="MSIP_Label_e3ba8fb0-bbb8-454c-aa98-661329b3f27f_ActionId">
    <vt:lpwstr>b4c86165-ddd0-47e8-8f89-7ec05d41b5d1</vt:lpwstr>
  </property>
  <property fmtid="{D5CDD505-2E9C-101B-9397-08002B2CF9AE}" pid="8" name="MSIP_Label_e3ba8fb0-bbb8-454c-aa98-661329b3f27f_ContentBits">
    <vt:lpwstr>3</vt:lpwstr>
  </property>
  <property fmtid="{D5CDD505-2E9C-101B-9397-08002B2CF9AE}" pid="9" name="MSIP_Label_e3ba8fb0-bbb8-454c-aa98-661329b3f27f_Tag">
    <vt:lpwstr>10, 0, 1, 1</vt:lpwstr>
  </property>
</Properties>
</file>