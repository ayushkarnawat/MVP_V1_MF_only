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6F5B407B-ECB5-4339-AA10-535D7290D1E8}" xr6:coauthVersionLast="47" xr6:coauthVersionMax="47" xr10:uidLastSave="{00000000-0000-0000-0000-000000000000}"/>
  <bookViews>
    <workbookView xWindow="11700" yWindow="5280" windowWidth="7500" windowHeight="6000" xr2:uid="{7291B499-DD8C-4F12-BA28-9EE7F24AB421}"/>
  </bookViews>
  <sheets>
    <sheet name="JBFLEXI" sheetId="17" r:id="rId1"/>
  </sheets>
  <definedNames>
    <definedName name="_xlnm.Print_Area" localSheetId="0">JBFLEXI!$B$1:$I$255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7" l="1"/>
  <c r="G150" i="17" s="1"/>
  <c r="F144" i="17"/>
  <c r="F147" i="17" s="1"/>
  <c r="G147" i="17" l="1"/>
  <c r="F150" i="17"/>
</calcChain>
</file>

<file path=xl/sharedStrings.xml><?xml version="1.0" encoding="utf-8"?>
<sst xmlns="http://schemas.openxmlformats.org/spreadsheetml/2006/main" count="506" uniqueCount="381">
  <si>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</si>
  <si>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</si>
  <si>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</si>
  <si>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</si>
  <si>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</si>
  <si>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</si>
  <si>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September 30, 2026</t>
  </si>
  <si>
    <t>JioBlackRock Flexi Cap Fund</t>
  </si>
  <si>
    <t>Equity &amp; Equity related</t>
  </si>
  <si>
    <t>(a) Listed / awaiting listing on Stock Exchanges</t>
  </si>
  <si>
    <t>Cement &amp; Cement Products</t>
  </si>
  <si>
    <t>Life Insurance Corporation Of India</t>
  </si>
  <si>
    <t>INE0J1Y01017</t>
  </si>
  <si>
    <t>Insurance</t>
  </si>
  <si>
    <t>Tata Steel Ltd</t>
  </si>
  <si>
    <t>INE081A01020</t>
  </si>
  <si>
    <t>Ferrous Metals</t>
  </si>
  <si>
    <t>Auto Components</t>
  </si>
  <si>
    <t>Axis Bank Ltd</t>
  </si>
  <si>
    <t>INE238A01034</t>
  </si>
  <si>
    <t>Banks</t>
  </si>
  <si>
    <t>Punjab National Bank</t>
  </si>
  <si>
    <t>INE160A01022</t>
  </si>
  <si>
    <t>Petroleum Products</t>
  </si>
  <si>
    <t>Indian Oil Corporation Ltd</t>
  </si>
  <si>
    <t>INE242A01010</t>
  </si>
  <si>
    <t>Samvardhana Motherson International Ltd</t>
  </si>
  <si>
    <t>INE775A01035</t>
  </si>
  <si>
    <t>Bharat Heavy Electricals Ltd</t>
  </si>
  <si>
    <t>INE257A01026</t>
  </si>
  <si>
    <t>Electrical Equipment</t>
  </si>
  <si>
    <t>ICICI Bank Ltd</t>
  </si>
  <si>
    <t>INE090A01021</t>
  </si>
  <si>
    <t>Automobiles</t>
  </si>
  <si>
    <t>Oracle Financial Services Software Ltd</t>
  </si>
  <si>
    <t>INE881D01027</t>
  </si>
  <si>
    <t>IT - Software</t>
  </si>
  <si>
    <t>Coal India Ltd</t>
  </si>
  <si>
    <t>INE522F01014</t>
  </si>
  <si>
    <t>Consumable Fuels</t>
  </si>
  <si>
    <t>Asian Paints Ltd</t>
  </si>
  <si>
    <t>INE021A01026</t>
  </si>
  <si>
    <t>Consumer Durables</t>
  </si>
  <si>
    <t>Finance</t>
  </si>
  <si>
    <t>Non - Ferrous Metals</t>
  </si>
  <si>
    <t>Agricultural Food &amp; Other Products</t>
  </si>
  <si>
    <t>Hero MotoCorp Ltd</t>
  </si>
  <si>
    <t>INE158A01026</t>
  </si>
  <si>
    <t>BSE Ltd</t>
  </si>
  <si>
    <t>INE118H01025</t>
  </si>
  <si>
    <t>Capital Markets</t>
  </si>
  <si>
    <t>Pharmaceuticals &amp; Biotechnology</t>
  </si>
  <si>
    <t>Marico Ltd</t>
  </si>
  <si>
    <t>INE196A01026</t>
  </si>
  <si>
    <t>Apollo Hospitals Enterprise Ltd</t>
  </si>
  <si>
    <t>INE437A01024</t>
  </si>
  <si>
    <t>Healthcare Services</t>
  </si>
  <si>
    <t>Reliance Industries Ltd</t>
  </si>
  <si>
    <t>INE002A01018</t>
  </si>
  <si>
    <t>Bharti Airtel Ltd</t>
  </si>
  <si>
    <t>INE397D01024</t>
  </si>
  <si>
    <t>Telecom - Services</t>
  </si>
  <si>
    <t>Ultratech Cement Ltd</t>
  </si>
  <si>
    <t>INE481G01011</t>
  </si>
  <si>
    <t>Bajaj Holdings &amp; Investment Ltd</t>
  </si>
  <si>
    <t>INE118A01012</t>
  </si>
  <si>
    <t>HDFC Bank Ltd</t>
  </si>
  <si>
    <t>INE040A01034</t>
  </si>
  <si>
    <t>Beverages</t>
  </si>
  <si>
    <t>JSW Steel Ltd</t>
  </si>
  <si>
    <t>INE019A01038</t>
  </si>
  <si>
    <t>Sub Total</t>
  </si>
  <si>
    <t xml:space="preserve">(b) Unlisted </t>
  </si>
  <si>
    <t>NIL</t>
  </si>
  <si>
    <t>Total</t>
  </si>
  <si>
    <t>Nil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</si>
  <si>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</si>
  <si>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</si>
  <si>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</si>
  <si>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</si>
  <si>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</si>
  <si>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</si>
  <si>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</si>
  <si>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</si>
  <si>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</si>
  <si>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</si>
  <si>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</si>
  <si>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</si>
  <si>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</si>
  <si>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Kotak Mahindra Bank Ltd</t>
  </si>
  <si>
    <t>INE237A01036</t>
  </si>
  <si>
    <t>Mahindra &amp; Mahindra Ltd</t>
  </si>
  <si>
    <t>INE101A01026</t>
  </si>
  <si>
    <t>Bajaj Finance Ltd</t>
  </si>
  <si>
    <t>INE296A01032</t>
  </si>
  <si>
    <t>ITC Ltd</t>
  </si>
  <si>
    <t>INE154A01025</t>
  </si>
  <si>
    <t>Diversified FMCG</t>
  </si>
  <si>
    <t>Retailing</t>
  </si>
  <si>
    <t>Tata Consultancy Services Ltd</t>
  </si>
  <si>
    <t>INE467B01029</t>
  </si>
  <si>
    <t>Sun Pharmaceutical Industries Ltd</t>
  </si>
  <si>
    <t>INE044A01036</t>
  </si>
  <si>
    <t>Titan Co Ltd</t>
  </si>
  <si>
    <t>INE280A01028</t>
  </si>
  <si>
    <t>NTPC Ltd</t>
  </si>
  <si>
    <t>INE733E01010</t>
  </si>
  <si>
    <t>Power</t>
  </si>
  <si>
    <t>Adani Ports and Special Economic Zone Ltd</t>
  </si>
  <si>
    <t>INE742F01042</t>
  </si>
  <si>
    <t>Transport Infrastructure</t>
  </si>
  <si>
    <t>Shriram Finance Ltd</t>
  </si>
  <si>
    <t>INE721A01047</t>
  </si>
  <si>
    <t>Hindalco Industries Ltd</t>
  </si>
  <si>
    <t>INE038A01020</t>
  </si>
  <si>
    <t>HCL Technologies Ltd</t>
  </si>
  <si>
    <t>INE860A01027</t>
  </si>
  <si>
    <t>Transport Services</t>
  </si>
  <si>
    <t>Bajaj Finserv Ltd</t>
  </si>
  <si>
    <t>INE918I01026</t>
  </si>
  <si>
    <t>Nestle India Ltd</t>
  </si>
  <si>
    <t>INE239A01024</t>
  </si>
  <si>
    <t>Food Products</t>
  </si>
  <si>
    <t>Oil &amp; Natural Gas Corporation Ltd</t>
  </si>
  <si>
    <t>INE213A01029</t>
  </si>
  <si>
    <t>Oil</t>
  </si>
  <si>
    <t>Lupin Ltd</t>
  </si>
  <si>
    <t>INE326A01037</t>
  </si>
  <si>
    <t>Yes Bank Ltd</t>
  </si>
  <si>
    <t>INE528G01035</t>
  </si>
  <si>
    <t>Radico Khaitan Ltd</t>
  </si>
  <si>
    <t>INE944F01028</t>
  </si>
  <si>
    <t>Nippon Life India Asset Management Ltd</t>
  </si>
  <si>
    <t>INE298J01013</t>
  </si>
  <si>
    <t>GAIL (India) Ltd</t>
  </si>
  <si>
    <t>INE129A01019</t>
  </si>
  <si>
    <t>Gas</t>
  </si>
  <si>
    <t>Power Finance Corporation Ltd</t>
  </si>
  <si>
    <t>INE134E01011</t>
  </si>
  <si>
    <t>Steel Authority of India Ltd</t>
  </si>
  <si>
    <t>INE114A01011</t>
  </si>
  <si>
    <t>Apollo Tyres Ltd</t>
  </si>
  <si>
    <t>INE438A01022</t>
  </si>
  <si>
    <t>TVS Motor Co Ltd</t>
  </si>
  <si>
    <t>INE494B01023</t>
  </si>
  <si>
    <t>Tata Motors Ltd</t>
  </si>
  <si>
    <t>INE1TAE01010</t>
  </si>
  <si>
    <t>Agricultural, Commercial &amp; Construction Vehicles</t>
  </si>
  <si>
    <t>Dixon Technologies (India) Ltd</t>
  </si>
  <si>
    <t>INE935N01020</t>
  </si>
  <si>
    <t>Polycab India Ltd</t>
  </si>
  <si>
    <t>INE455K01017</t>
  </si>
  <si>
    <t>Industrial Products</t>
  </si>
  <si>
    <t>HDFC Asset Management Co Ltd</t>
  </si>
  <si>
    <t>INE127D01025</t>
  </si>
  <si>
    <t>IPCA Laboratories Ltd</t>
  </si>
  <si>
    <t>INE571A01038</t>
  </si>
  <si>
    <t>Aurobindo Pharma Ltd</t>
  </si>
  <si>
    <t>INE406A01037</t>
  </si>
  <si>
    <t>Balkrishna Industries Ltd</t>
  </si>
  <si>
    <t>INE787D01026</t>
  </si>
  <si>
    <t>Federal Bank Ltd</t>
  </si>
  <si>
    <t>INE171A01029</t>
  </si>
  <si>
    <t>IDFC First Bank Ltd</t>
  </si>
  <si>
    <t>INE092T01019</t>
  </si>
  <si>
    <t>Hitachi Energy India Ltd</t>
  </si>
  <si>
    <t>INE07Y701011</t>
  </si>
  <si>
    <t>REC Ltd</t>
  </si>
  <si>
    <t>INE020B01018</t>
  </si>
  <si>
    <t>KEI Industries Ltd</t>
  </si>
  <si>
    <t>INE878B01027</t>
  </si>
  <si>
    <t>Apar Industries Ltd</t>
  </si>
  <si>
    <t>INE372A01015</t>
  </si>
  <si>
    <t>Lenskart Solutions Ltd</t>
  </si>
  <si>
    <t>INE956O01016</t>
  </si>
  <si>
    <t>Awl Agri Business Ltd</t>
  </si>
  <si>
    <t>INE699H01024</t>
  </si>
  <si>
    <t>Coforge Ltd</t>
  </si>
  <si>
    <t>INE591G01025</t>
  </si>
  <si>
    <t>Ge Vernova T&amp;D India Ltd</t>
  </si>
  <si>
    <t>INE200A01026</t>
  </si>
  <si>
    <t>Chemicals &amp; Petrochemicals</t>
  </si>
  <si>
    <t>Escorts Kubota Ltd</t>
  </si>
  <si>
    <t>INE042A01014</t>
  </si>
  <si>
    <t>Glenmark Pharmaceuticals Ltd</t>
  </si>
  <si>
    <t>INE935A01035</t>
  </si>
  <si>
    <t>Bharat Petroleum Corporation Ltd</t>
  </si>
  <si>
    <t>INE029A01011</t>
  </si>
  <si>
    <t>Solar Industries India Ltd</t>
  </si>
  <si>
    <t>INE343H01029</t>
  </si>
  <si>
    <t>Adani Energy Solutions Ltd</t>
  </si>
  <si>
    <t>INE931S01010</t>
  </si>
  <si>
    <t>Personal Products</t>
  </si>
  <si>
    <t>Siemens Energy India ltd</t>
  </si>
  <si>
    <t>INE1NPP01017</t>
  </si>
  <si>
    <t>Industrial Manufacturing</t>
  </si>
  <si>
    <t>Multi Commodity Exchange Of India Ltd</t>
  </si>
  <si>
    <t>INE745G01043</t>
  </si>
  <si>
    <t>Max Financial Services Ltd</t>
  </si>
  <si>
    <t>INE180A01020</t>
  </si>
  <si>
    <t>Piramal Finance Ltd</t>
  </si>
  <si>
    <t>INE202B01038</t>
  </si>
  <si>
    <t>Billionbrains Garage Ventures Ltd</t>
  </si>
  <si>
    <t>INE0HOQ01053</t>
  </si>
  <si>
    <t>Textiles &amp; Apparels</t>
  </si>
  <si>
    <t>L&amp;T Finance Ltd</t>
  </si>
  <si>
    <t>INE498L01015</t>
  </si>
  <si>
    <t>ICICI Prudential Asset Management Co Ltd</t>
  </si>
  <si>
    <t>INE346A01027</t>
  </si>
  <si>
    <t>Bank of India</t>
  </si>
  <si>
    <t>INE084A01016</t>
  </si>
  <si>
    <t>Berger Paints India Ltd</t>
  </si>
  <si>
    <t>INE463A01038</t>
  </si>
  <si>
    <t>Welspun Corp Ltd</t>
  </si>
  <si>
    <t>INE191B01025</t>
  </si>
  <si>
    <t>Karur Vysya Bank Ltd</t>
  </si>
  <si>
    <t>INE036D01028</t>
  </si>
  <si>
    <t>Navin Fluorine International Ltd</t>
  </si>
  <si>
    <t>INE048G01026</t>
  </si>
  <si>
    <t>Ather Energy Ltd</t>
  </si>
  <si>
    <t>INE0LEZ01016</t>
  </si>
  <si>
    <t>Redington Ltd</t>
  </si>
  <si>
    <t>INE891D01026</t>
  </si>
  <si>
    <t>Commercial Services &amp; Supplies</t>
  </si>
  <si>
    <t>Neuland Laboratories Ltd</t>
  </si>
  <si>
    <t>INE794A01010</t>
  </si>
  <si>
    <t>TD Power Systems Ltd</t>
  </si>
  <si>
    <t>INE419M01035</t>
  </si>
  <si>
    <t>Aegis Logistics Ltd</t>
  </si>
  <si>
    <t>INE208C01025</t>
  </si>
  <si>
    <t>Acutaas Chemicals Ltd</t>
  </si>
  <si>
    <t>INE00FF01025</t>
  </si>
  <si>
    <t>Craftsman Automation Ltd</t>
  </si>
  <si>
    <t>INE00LO01017</t>
  </si>
  <si>
    <t>Kalpataru Projects International Ltd</t>
  </si>
  <si>
    <t>INE220B01022</t>
  </si>
  <si>
    <t>Dr. Lal Path Labs Ltd</t>
  </si>
  <si>
    <t>INE600L01024</t>
  </si>
  <si>
    <t>Syrma SGS Technology Ltd</t>
  </si>
  <si>
    <t>INE0DYJ01015</t>
  </si>
  <si>
    <t>Elgi Equipments Ltd</t>
  </si>
  <si>
    <t>INE285A01027</t>
  </si>
  <si>
    <t>Star Health And Allied Insurance Co Ltd</t>
  </si>
  <si>
    <t>INE575P01011</t>
  </si>
  <si>
    <t>Granules India Ltd</t>
  </si>
  <si>
    <t>INE101D01020</t>
  </si>
  <si>
    <t>Deepak Nitrite Ltd</t>
  </si>
  <si>
    <t>INE288B01029</t>
  </si>
  <si>
    <t>Kajaria Ceramics Ltd</t>
  </si>
  <si>
    <t>INE217B01036</t>
  </si>
  <si>
    <t>Five-Star Business Finance Ltd</t>
  </si>
  <si>
    <t>INE128S01021</t>
  </si>
  <si>
    <t>Castrol India Ltd</t>
  </si>
  <si>
    <t>INE172A01027</t>
  </si>
  <si>
    <t>Atul Ltd</t>
  </si>
  <si>
    <t>INE100A01010</t>
  </si>
  <si>
    <t>PVR Inox Ltd</t>
  </si>
  <si>
    <t>INE191H01014</t>
  </si>
  <si>
    <t>Entertainment</t>
  </si>
  <si>
    <t>CESC Ltd</t>
  </si>
  <si>
    <t>INE486A01021</t>
  </si>
  <si>
    <t>R R Kabel Ltd</t>
  </si>
  <si>
    <t>INE777K01022</t>
  </si>
  <si>
    <t>Nava Ltd</t>
  </si>
  <si>
    <t>INE725A01030</t>
  </si>
  <si>
    <t>CCL Products (India) Ltd</t>
  </si>
  <si>
    <t>INE421D01022</t>
  </si>
  <si>
    <t>Welspun Living Ltd</t>
  </si>
  <si>
    <t>INE192B01031</t>
  </si>
  <si>
    <t>Creditaccess Grameen Ltd</t>
  </si>
  <si>
    <t>INE741K01010</t>
  </si>
  <si>
    <t>Honasa Consumer Ltd</t>
  </si>
  <si>
    <t>INE0J5401028</t>
  </si>
  <si>
    <t>Rubicon Research Ltd</t>
  </si>
  <si>
    <t>INE506V01022</t>
  </si>
  <si>
    <t>Minda Corporation Ltd</t>
  </si>
  <si>
    <t>INE842C01021</t>
  </si>
  <si>
    <t>JM Financial Ltd</t>
  </si>
  <si>
    <t>INE780C01023</t>
  </si>
  <si>
    <t>CIE Automotive India Ltd</t>
  </si>
  <si>
    <t>INE536H01010</t>
  </si>
  <si>
    <t>Shipping Corporation of India Ltd</t>
  </si>
  <si>
    <t>INE109A01011</t>
  </si>
  <si>
    <t>Telecom - Equipment &amp; Accessories</t>
  </si>
  <si>
    <t>JSW Cement Ltd</t>
  </si>
  <si>
    <t>INE718I01012</t>
  </si>
  <si>
    <t>Sterlite Technologies Ltd</t>
  </si>
  <si>
    <t>INE089C01029</t>
  </si>
  <si>
    <t>Ujjivan Small Finance Bank Ltd</t>
  </si>
  <si>
    <t>INE551W01018</t>
  </si>
  <si>
    <t>V-Guard Industries Ltd</t>
  </si>
  <si>
    <t>INE951I01027</t>
  </si>
  <si>
    <t>Akums Drugs And Pharmaceuticals Ltd</t>
  </si>
  <si>
    <t>INE09XN01023</t>
  </si>
  <si>
    <t>Gujarat Pipavav Port Ltd</t>
  </si>
  <si>
    <t>INE517F01014</t>
  </si>
  <si>
    <t>Kansai Nerolac Paints Ltd</t>
  </si>
  <si>
    <t>INE531A01024</t>
  </si>
  <si>
    <t>Rategain Travel Technologies Ltd</t>
  </si>
  <si>
    <t>INE0CLI01024</t>
  </si>
  <si>
    <t>MTAR Technologies Ltd</t>
  </si>
  <si>
    <t>INE864I01014</t>
  </si>
  <si>
    <t>Electronics Mart India Ltd</t>
  </si>
  <si>
    <t>INE02YR01019</t>
  </si>
  <si>
    <t>Jamna Auto Industries Ltd</t>
  </si>
  <si>
    <t>INE039C01032</t>
  </si>
  <si>
    <t>Shadowfax Technologies Ltd</t>
  </si>
  <si>
    <t>INE12UN01015</t>
  </si>
  <si>
    <t>Karnataka Bank Ltd</t>
  </si>
  <si>
    <t>INE614B01018</t>
  </si>
  <si>
    <t>Indegene Ltd</t>
  </si>
  <si>
    <t>INE065X01017</t>
  </si>
  <si>
    <t>PTC India Ltd</t>
  </si>
  <si>
    <t>INE877F01012</t>
  </si>
  <si>
    <t>Indo Count Industries Ltd</t>
  </si>
  <si>
    <t>INE483B01026</t>
  </si>
  <si>
    <t>Marksans Pharma Ltd</t>
  </si>
  <si>
    <t>INE750C01026</t>
  </si>
  <si>
    <t>Equitas Small Finance Bank Ltd</t>
  </si>
  <si>
    <t>INE063P01018</t>
  </si>
  <si>
    <t>Advanced Enzyme Technologies Ltd</t>
  </si>
  <si>
    <t>INE837H01020</t>
  </si>
  <si>
    <t>TVS Supply Chain Solutions Ltd</t>
  </si>
  <si>
    <t>INE395N01027</t>
  </si>
  <si>
    <t>Happy Forgings Ltd</t>
  </si>
  <si>
    <t>INE330T01021</t>
  </si>
  <si>
    <t>Niva Bupa Health Insurance Co Ltd</t>
  </si>
  <si>
    <t>INE995S01015</t>
  </si>
  <si>
    <t>Alembic Pharmaceuticals Ltd</t>
  </si>
  <si>
    <t>INE901L01018</t>
  </si>
  <si>
    <t>Ahluwalia Contracts (India) Ltd</t>
  </si>
  <si>
    <t>INE758C01029</t>
  </si>
  <si>
    <t>Benchmark Risk-O-Meter</t>
  </si>
  <si>
    <t>Benchmark Name - Nifty 500 Index (TRI)</t>
  </si>
  <si>
    <t>-</t>
  </si>
  <si>
    <t>(1) There is no security which is in default beyond its maturity/ interest payment date.</t>
  </si>
  <si>
    <t>Plan/ Option</t>
  </si>
  <si>
    <t>As on September 30, 2026</t>
  </si>
  <si>
    <t>Direct Plan - Growth Option</t>
  </si>
  <si>
    <t>Regular Plan - Growth Option</t>
  </si>
  <si>
    <t>As on August 31, 2026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</si>
  <si>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</si>
  <si>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</si>
  <si>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</si>
  <si>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</si>
  <si>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</si>
  <si>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</si>
  <si>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</si>
  <si>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</si>
  <si>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</si>
  <si>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</si>
  <si>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</si>
  <si>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</si>
  <si>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</si>
  <si>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</si>
  <si>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</si>
  <si>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</si>
  <si>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</si>
  <si>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</si>
  <si>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</si>
  <si>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</si>
  <si>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</si>
  <si>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</si>
  <si>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</si>
  <si>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</si>
  <si>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</si>
  <si>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</si>
  <si>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(5) Exposure to Derivative Instruments as on September 30, 2026:</t>
  </si>
  <si>
    <t>a)  Hedging positions through futures as on September 30, 2026 is :</t>
  </si>
  <si>
    <t>For the Month ended September 30, 2026 following were the hedging transactions through futures which have been squared off/expired:</t>
  </si>
  <si>
    <t>b) Other than Hedging Positions through Futures as on September 30, 2026 is :</t>
  </si>
  <si>
    <t>For the Month ended September 30, 2026 following were the non-hedging transactions through futures which have been squared off/expired:</t>
  </si>
  <si>
    <t>c) Hedging positions through Put options as on September 30, 2026</t>
  </si>
  <si>
    <t>For the Month ended September 30, 2026, following details specified for hedging transactions through Put options which have already been exercised/ expired:</t>
  </si>
  <si>
    <t>d) Other than hedging positions through options as on September 30, 2026</t>
  </si>
  <si>
    <t>For the period ended September 30, 2026, following details specified for non-hedging transactions through options which have already been exercised/ expired:</t>
  </si>
  <si>
    <t>(6) Total market value of investments in foreign securities/ American Depository Receipts/ Global Depository Receipts as at September 30, 2026 is Rs. Nil.</t>
  </si>
  <si>
    <t>(8) Repo transactions in corporate debt securities as on September 30, 2026 is Rs. Nil.</t>
  </si>
  <si>
    <t>(4) There was no distribution (of income and capital) during the Month ended September 30, 2026.</t>
  </si>
  <si>
    <t>Total exposure due to futures (non hedging positions) as a percentage of net assets: NIL</t>
  </si>
  <si>
    <t>(7) During the period, the portfolio turnover ratio is 1.80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</si>
</sst>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"/>
    <numFmt numFmtId="168" formatCode="0.0000"/>
    <numFmt numFmtId="169" formatCode="#,##0.0000_ ;\-#,##0.0000\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8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 wrapText="1"/>
    </xf>
    <xf numFmtId="39" fontId="5" fillId="0" borderId="4" xfId="0" applyNumberFormat="1" applyFont="1" applyBorder="1" applyAlignment="1">
      <alignment horizontal="center" vertical="center" wrapText="1"/>
    </xf>
    <xf numFmtId="0" fontId="5" fillId="2" borderId="5" xfId="0" applyFont="1" applyFill="1" applyBorder="1"/>
    <xf numFmtId="0" fontId="6" fillId="2" borderId="5" xfId="0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" fontId="6" fillId="2" borderId="5" xfId="0" applyNumberFormat="1" applyFont="1" applyFill="1" applyBorder="1"/>
    <xf numFmtId="165" fontId="6" fillId="2" borderId="5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5" fillId="2" borderId="7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0" fontId="5" fillId="2" borderId="8" xfId="0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0" fontId="5" fillId="2" borderId="6" xfId="0" applyFont="1" applyFill="1" applyBorder="1"/>
    <xf numFmtId="0" fontId="10" fillId="2" borderId="4" xfId="0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164" fontId="12" fillId="3" borderId="0" xfId="2" applyFont="1" applyFill="1" applyAlignment="1">
      <alignment horizontal="justify" vertical="center"/>
    </xf>
    <xf numFmtId="2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12" fillId="3" borderId="0" xfId="0" applyFont="1" applyFill="1" applyAlignment="1">
      <alignment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169" fontId="12" fillId="3" borderId="0" xfId="0" applyNumberFormat="1" applyFont="1" applyFill="1" applyAlignment="1">
      <alignment horizontal="center" vertical="top"/>
    </xf>
    <xf numFmtId="3" fontId="12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left" vertical="center"/>
    </xf>
    <xf numFmtId="0" fontId="6" fillId="2" borderId="9" xfId="0" applyFont="1" applyFill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/>
    <xf numFmtId="3" fontId="3" fillId="0" borderId="11" xfId="0" applyNumberFormat="1" applyFont="1" applyBorder="1" applyAlignment="1">
      <alignment horizontal="center" vertical="center"/>
    </xf>
    <xf numFmtId="4" fontId="3" fillId="0" borderId="11" xfId="0" applyNumberFormat="1" applyFont="1" applyBorder="1" applyAlignment="1">
      <alignment horizontal="center" vertical="center"/>
    </xf>
    <xf numFmtId="164" fontId="3" fillId="0" borderId="10" xfId="2" applyFont="1" applyFill="1" applyBorder="1" applyAlignment="1">
      <alignment horizontal="left" vertical="center"/>
    </xf>
    <xf numFmtId="164" fontId="3" fillId="0" borderId="10" xfId="0" applyNumberFormat="1" applyFont="1" applyBorder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" fontId="12" fillId="3" borderId="9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2"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221</xdr:row>
      <xdr:rowOff>0</xdr:rowOff>
    </xdr:from>
    <xdr:to>
      <xdr:col>2</xdr:col>
      <xdr:colOff>1300692</xdr:colOff>
      <xdr:row>235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AAD9D-8B61-4DCA-978E-289D6F5B6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3018790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239</xdr:row>
      <xdr:rowOff>47624</xdr:rowOff>
    </xdr:from>
    <xdr:to>
      <xdr:col>2</xdr:col>
      <xdr:colOff>1357842</xdr:colOff>
      <xdr:row>254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1495A-B704-47EA-9D88-E1380294F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32534224"/>
          <a:ext cx="4092575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BD70-BC5F-4B9E-8F07-A741C8C000F8}">
  <dimension ref="A1:I238"/>
  <sheetViews>
    <sheetView tabSelected="1" view="pageBreakPreview" zoomScaleNormal="100" zoomScaleSheetLayoutView="100" workbookViewId="0">
      <selection activeCell="B1" sqref="B1:C1"/>
    </sheetView>
  </sheetViews>
  <sheetFormatPr defaultColWidth="9.08984375" defaultRowHeight="10" x14ac:dyDescent="0.2"/>
  <cols>
    <col min="1" max="1" width="7.1796875" style="6" customWidth="1"/>
    <col min="2" max="2" width="52.6328125" style="6" bestFit="1" customWidth="1"/>
    <col min="3" max="3" width="20.26953125" style="6" bestFit="1" customWidth="1"/>
    <col min="4" max="4" width="32.1796875" style="6" bestFit="1" customWidth="1"/>
    <col min="5" max="5" width="13.81640625" style="6" bestFit="1" customWidth="1"/>
    <col min="6" max="6" width="12.7265625" style="8" bestFit="1" customWidth="1"/>
    <col min="7" max="7" width="6.7265625" style="10" bestFit="1" customWidth="1"/>
    <col min="8" max="8" width="14.36328125" style="6" bestFit="1" customWidth="1"/>
    <col min="9" max="16384" width="9.08984375" style="6"/>
  </cols>
  <sheetData>
    <row r="1" spans="1:8" s="1" customFormat="1" ht="16.75" customHeight="1" x14ac:dyDescent="0.35">
      <c r="B1" s="76" t="s">
        <v>7</v>
      </c>
      <c r="C1" s="77"/>
      <c r="D1" s="9"/>
      <c r="F1" s="5"/>
      <c r="G1" s="10"/>
    </row>
    <row r="2" spans="1:8" s="1" customFormat="1" ht="14.5" x14ac:dyDescent="0.35">
      <c r="A2" s="38" t="s">
        <v>334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79</v>
      </c>
      <c r="E4" s="14" t="s">
        <v>0</v>
      </c>
      <c r="F4" s="15" t="s">
        <v>1</v>
      </c>
      <c r="G4" s="16" t="s">
        <v>2</v>
      </c>
      <c r="H4" s="37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66</v>
      </c>
      <c r="C7" s="18" t="s">
        <v>67</v>
      </c>
      <c r="D7" s="18" t="s">
        <v>20</v>
      </c>
      <c r="E7" s="21">
        <v>2641969</v>
      </c>
      <c r="F7" s="19">
        <v>18723.634302999999</v>
      </c>
      <c r="G7" s="20">
        <v>5.8963818035719502</v>
      </c>
      <c r="H7" s="22"/>
    </row>
    <row r="8" spans="1:8" x14ac:dyDescent="0.2">
      <c r="B8" s="18" t="s">
        <v>31</v>
      </c>
      <c r="C8" s="18" t="s">
        <v>32</v>
      </c>
      <c r="D8" s="18" t="s">
        <v>20</v>
      </c>
      <c r="E8" s="21">
        <v>1367128</v>
      </c>
      <c r="F8" s="19">
        <v>18069.330775999999</v>
      </c>
      <c r="G8" s="20">
        <v>5.6903308121788099</v>
      </c>
      <c r="H8" s="22"/>
    </row>
    <row r="9" spans="1:8" x14ac:dyDescent="0.2">
      <c r="B9" s="18" t="s">
        <v>59</v>
      </c>
      <c r="C9" s="18" t="s">
        <v>60</v>
      </c>
      <c r="D9" s="18" t="s">
        <v>61</v>
      </c>
      <c r="E9" s="21">
        <v>779341</v>
      </c>
      <c r="F9" s="19">
        <v>13693.02137</v>
      </c>
      <c r="G9" s="20">
        <v>4.3121586725849204</v>
      </c>
      <c r="H9" s="22"/>
    </row>
    <row r="10" spans="1:8" x14ac:dyDescent="0.2">
      <c r="B10" s="18" t="s">
        <v>85</v>
      </c>
      <c r="C10" s="18" t="s">
        <v>86</v>
      </c>
      <c r="D10" s="18" t="s">
        <v>20</v>
      </c>
      <c r="E10" s="21">
        <v>1167195</v>
      </c>
      <c r="F10" s="19">
        <v>11199.236025</v>
      </c>
      <c r="G10" s="20">
        <v>3.5268244638348301</v>
      </c>
      <c r="H10" s="22"/>
    </row>
    <row r="11" spans="1:8" x14ac:dyDescent="0.2">
      <c r="B11" s="18" t="s">
        <v>57</v>
      </c>
      <c r="C11" s="18" t="s">
        <v>58</v>
      </c>
      <c r="D11" s="18" t="s">
        <v>23</v>
      </c>
      <c r="E11" s="21">
        <v>815460</v>
      </c>
      <c r="F11" s="19">
        <v>9679.5102000000006</v>
      </c>
      <c r="G11" s="20">
        <v>3.04823769184727</v>
      </c>
      <c r="H11" s="22"/>
    </row>
    <row r="12" spans="1:8" x14ac:dyDescent="0.2">
      <c r="B12" s="18" t="s">
        <v>91</v>
      </c>
      <c r="C12" s="18" t="s">
        <v>92</v>
      </c>
      <c r="D12" s="18" t="s">
        <v>33</v>
      </c>
      <c r="E12" s="21">
        <v>309631</v>
      </c>
      <c r="F12" s="19">
        <v>9134.1144999999997</v>
      </c>
      <c r="G12" s="20">
        <v>2.8764835746077999</v>
      </c>
      <c r="H12" s="22"/>
    </row>
    <row r="13" spans="1:8" x14ac:dyDescent="0.2">
      <c r="B13" s="18" t="s">
        <v>14</v>
      </c>
      <c r="C13" s="18" t="s">
        <v>15</v>
      </c>
      <c r="D13" s="18" t="s">
        <v>16</v>
      </c>
      <c r="E13" s="21">
        <v>3932685</v>
      </c>
      <c r="F13" s="19">
        <v>7247.9384550000004</v>
      </c>
      <c r="G13" s="20">
        <v>2.2824955736624202</v>
      </c>
      <c r="H13" s="22"/>
    </row>
    <row r="14" spans="1:8" x14ac:dyDescent="0.2">
      <c r="B14" s="18" t="s">
        <v>123</v>
      </c>
      <c r="C14" s="18" t="s">
        <v>124</v>
      </c>
      <c r="D14" s="18" t="s">
        <v>125</v>
      </c>
      <c r="E14" s="21">
        <v>2703807</v>
      </c>
      <c r="F14" s="19">
        <v>6105.1962059999996</v>
      </c>
      <c r="G14" s="20">
        <v>1.9226271584746299</v>
      </c>
      <c r="H14" s="22"/>
    </row>
    <row r="15" spans="1:8" x14ac:dyDescent="0.2">
      <c r="B15" s="18" t="s">
        <v>87</v>
      </c>
      <c r="C15" s="18" t="s">
        <v>88</v>
      </c>
      <c r="D15" s="18" t="s">
        <v>36</v>
      </c>
      <c r="E15" s="21">
        <v>607218</v>
      </c>
      <c r="F15" s="19">
        <v>6036.3541379999997</v>
      </c>
      <c r="G15" s="20">
        <v>1.9009476538172201</v>
      </c>
      <c r="H15" s="22"/>
    </row>
    <row r="16" spans="1:8" x14ac:dyDescent="0.2">
      <c r="B16" s="18" t="s">
        <v>11</v>
      </c>
      <c r="C16" s="18" t="s">
        <v>12</v>
      </c>
      <c r="D16" s="18" t="s">
        <v>13</v>
      </c>
      <c r="E16" s="21">
        <v>1413200</v>
      </c>
      <c r="F16" s="19">
        <v>5584.9664000000002</v>
      </c>
      <c r="G16" s="20">
        <v>1.75879819705966</v>
      </c>
      <c r="H16" s="22"/>
    </row>
    <row r="17" spans="2:8" x14ac:dyDescent="0.2">
      <c r="B17" s="18" t="s">
        <v>120</v>
      </c>
      <c r="C17" s="18" t="s">
        <v>121</v>
      </c>
      <c r="D17" s="18" t="s">
        <v>122</v>
      </c>
      <c r="E17" s="21">
        <v>400141</v>
      </c>
      <c r="F17" s="19">
        <v>5241.8471</v>
      </c>
      <c r="G17" s="20">
        <v>1.6507442602953499</v>
      </c>
      <c r="H17" s="22"/>
    </row>
    <row r="18" spans="2:8" x14ac:dyDescent="0.2">
      <c r="B18" s="18" t="s">
        <v>126</v>
      </c>
      <c r="C18" s="18" t="s">
        <v>127</v>
      </c>
      <c r="D18" s="18" t="s">
        <v>51</v>
      </c>
      <c r="E18" s="21">
        <v>250758</v>
      </c>
      <c r="F18" s="19">
        <v>5090.8889159999999</v>
      </c>
      <c r="G18" s="20">
        <v>1.60320503394466</v>
      </c>
      <c r="H18" s="22"/>
    </row>
    <row r="19" spans="2:8" x14ac:dyDescent="0.2">
      <c r="B19" s="18" t="s">
        <v>82</v>
      </c>
      <c r="C19" s="18" t="s">
        <v>83</v>
      </c>
      <c r="D19" s="18" t="s">
        <v>84</v>
      </c>
      <c r="E19" s="21">
        <v>135072</v>
      </c>
      <c r="F19" s="19">
        <v>5078.7071999999998</v>
      </c>
      <c r="G19" s="20">
        <v>1.5993688103036601</v>
      </c>
      <c r="H19" s="22"/>
    </row>
    <row r="20" spans="2:8" x14ac:dyDescent="0.2">
      <c r="B20" s="18" t="s">
        <v>139</v>
      </c>
      <c r="C20" s="18" t="s">
        <v>140</v>
      </c>
      <c r="D20" s="18" t="s">
        <v>16</v>
      </c>
      <c r="E20" s="21">
        <v>2739043</v>
      </c>
      <c r="F20" s="19">
        <v>4971.0891406999999</v>
      </c>
      <c r="G20" s="20">
        <v>1.56547810530892</v>
      </c>
      <c r="H20" s="22"/>
    </row>
    <row r="21" spans="2:8" x14ac:dyDescent="0.2">
      <c r="B21" s="18" t="s">
        <v>24</v>
      </c>
      <c r="C21" s="18" t="s">
        <v>25</v>
      </c>
      <c r="D21" s="18" t="s">
        <v>23</v>
      </c>
      <c r="E21" s="21">
        <v>3662253</v>
      </c>
      <c r="F21" s="19">
        <v>4941.4779729000002</v>
      </c>
      <c r="G21" s="20">
        <v>1.55615305931769</v>
      </c>
      <c r="H21" s="22"/>
    </row>
    <row r="22" spans="2:8" x14ac:dyDescent="0.2">
      <c r="B22" s="18" t="s">
        <v>130</v>
      </c>
      <c r="C22" s="18" t="s">
        <v>131</v>
      </c>
      <c r="D22" s="18" t="s">
        <v>68</v>
      </c>
      <c r="E22" s="21">
        <v>112484</v>
      </c>
      <c r="F22" s="19">
        <v>4911.0514400000002</v>
      </c>
      <c r="G22" s="20">
        <v>1.54657124138459</v>
      </c>
      <c r="H22" s="22"/>
    </row>
    <row r="23" spans="2:8" x14ac:dyDescent="0.2">
      <c r="B23" s="18" t="s">
        <v>217</v>
      </c>
      <c r="C23" s="18" t="s">
        <v>218</v>
      </c>
      <c r="D23" s="18" t="s">
        <v>181</v>
      </c>
      <c r="E23" s="21">
        <v>58111</v>
      </c>
      <c r="F23" s="19">
        <v>4791.2519499999999</v>
      </c>
      <c r="G23" s="20">
        <v>1.50884440259454</v>
      </c>
      <c r="H23" s="22"/>
    </row>
    <row r="24" spans="2:8" x14ac:dyDescent="0.2">
      <c r="B24" s="18" t="s">
        <v>141</v>
      </c>
      <c r="C24" s="18" t="s">
        <v>142</v>
      </c>
      <c r="D24" s="18" t="s">
        <v>17</v>
      </c>
      <c r="E24" s="21">
        <v>1151897</v>
      </c>
      <c r="F24" s="19">
        <v>4661.727159</v>
      </c>
      <c r="G24" s="20">
        <v>1.46805490583314</v>
      </c>
      <c r="H24" s="22"/>
    </row>
    <row r="25" spans="2:8" x14ac:dyDescent="0.2">
      <c r="B25" s="18" t="s">
        <v>132</v>
      </c>
      <c r="C25" s="18" t="s">
        <v>133</v>
      </c>
      <c r="D25" s="18" t="s">
        <v>50</v>
      </c>
      <c r="E25" s="21">
        <v>434494</v>
      </c>
      <c r="F25" s="19">
        <v>4649.0857999999998</v>
      </c>
      <c r="G25" s="20">
        <v>1.4640739330169701</v>
      </c>
      <c r="H25" s="22"/>
    </row>
    <row r="26" spans="2:8" x14ac:dyDescent="0.2">
      <c r="B26" s="18" t="s">
        <v>99</v>
      </c>
      <c r="C26" s="18" t="s">
        <v>100</v>
      </c>
      <c r="D26" s="18" t="s">
        <v>36</v>
      </c>
      <c r="E26" s="21">
        <v>225127</v>
      </c>
      <c r="F26" s="19">
        <v>4616.4542620000002</v>
      </c>
      <c r="G26" s="20">
        <v>1.45379772254565</v>
      </c>
      <c r="H26" s="22"/>
    </row>
    <row r="27" spans="2:8" x14ac:dyDescent="0.2">
      <c r="B27" s="18" t="s">
        <v>150</v>
      </c>
      <c r="C27" s="18" t="s">
        <v>151</v>
      </c>
      <c r="D27" s="18" t="s">
        <v>152</v>
      </c>
      <c r="E27" s="21">
        <v>56862</v>
      </c>
      <c r="F27" s="19">
        <v>4563.7441200000003</v>
      </c>
      <c r="G27" s="20">
        <v>1.43719842792566</v>
      </c>
      <c r="H27" s="22"/>
    </row>
    <row r="28" spans="2:8" x14ac:dyDescent="0.2">
      <c r="B28" s="18" t="s">
        <v>62</v>
      </c>
      <c r="C28" s="18" t="s">
        <v>63</v>
      </c>
      <c r="D28" s="18" t="s">
        <v>10</v>
      </c>
      <c r="E28" s="21">
        <v>38510</v>
      </c>
      <c r="F28" s="19">
        <v>4219.1556</v>
      </c>
      <c r="G28" s="20">
        <v>1.3286818095081401</v>
      </c>
      <c r="H28" s="22"/>
    </row>
    <row r="29" spans="2:8" x14ac:dyDescent="0.2">
      <c r="B29" s="18" t="s">
        <v>267</v>
      </c>
      <c r="C29" s="18" t="s">
        <v>268</v>
      </c>
      <c r="D29" s="18" t="s">
        <v>204</v>
      </c>
      <c r="E29" s="21">
        <v>1728866</v>
      </c>
      <c r="F29" s="19">
        <v>3930.2310778000001</v>
      </c>
      <c r="G29" s="20">
        <v>1.2376947037071699</v>
      </c>
      <c r="H29" s="22"/>
    </row>
    <row r="30" spans="2:8" x14ac:dyDescent="0.2">
      <c r="B30" s="18" t="s">
        <v>157</v>
      </c>
      <c r="C30" s="18" t="s">
        <v>158</v>
      </c>
      <c r="D30" s="18" t="s">
        <v>51</v>
      </c>
      <c r="E30" s="21">
        <v>234887</v>
      </c>
      <c r="F30" s="19">
        <v>3927.3106400000001</v>
      </c>
      <c r="G30" s="20">
        <v>1.23677500959096</v>
      </c>
      <c r="H30" s="22"/>
    </row>
    <row r="31" spans="2:8" x14ac:dyDescent="0.2">
      <c r="B31" s="18" t="s">
        <v>128</v>
      </c>
      <c r="C31" s="18" t="s">
        <v>129</v>
      </c>
      <c r="D31" s="18" t="s">
        <v>20</v>
      </c>
      <c r="E31" s="21">
        <v>18257795</v>
      </c>
      <c r="F31" s="19">
        <v>3825.0080524999998</v>
      </c>
      <c r="G31" s="20">
        <v>1.20455823449102</v>
      </c>
      <c r="H31" s="22"/>
    </row>
    <row r="32" spans="2:8" x14ac:dyDescent="0.2">
      <c r="B32" s="18" t="s">
        <v>46</v>
      </c>
      <c r="C32" s="18" t="s">
        <v>47</v>
      </c>
      <c r="D32" s="18" t="s">
        <v>33</v>
      </c>
      <c r="E32" s="21">
        <v>71571</v>
      </c>
      <c r="F32" s="19">
        <v>3751.03611</v>
      </c>
      <c r="G32" s="20">
        <v>1.1812632475951299</v>
      </c>
      <c r="H32" s="22"/>
    </row>
    <row r="33" spans="2:8" x14ac:dyDescent="0.2">
      <c r="B33" s="18" t="s">
        <v>103</v>
      </c>
      <c r="C33" s="18" t="s">
        <v>104</v>
      </c>
      <c r="D33" s="18" t="s">
        <v>42</v>
      </c>
      <c r="E33" s="21">
        <v>78091</v>
      </c>
      <c r="F33" s="19">
        <v>3582.0341699999999</v>
      </c>
      <c r="G33" s="20">
        <v>1.1280417443517801</v>
      </c>
      <c r="H33" s="22"/>
    </row>
    <row r="34" spans="2:8" x14ac:dyDescent="0.2">
      <c r="B34" s="18" t="s">
        <v>190</v>
      </c>
      <c r="C34" s="18" t="s">
        <v>191</v>
      </c>
      <c r="D34" s="18" t="s">
        <v>107</v>
      </c>
      <c r="E34" s="21">
        <v>271203</v>
      </c>
      <c r="F34" s="19">
        <v>3565.2346379999999</v>
      </c>
      <c r="G34" s="20">
        <v>1.12275129415444</v>
      </c>
      <c r="H34" s="22"/>
    </row>
    <row r="35" spans="2:8" x14ac:dyDescent="0.2">
      <c r="B35" s="18" t="s">
        <v>37</v>
      </c>
      <c r="C35" s="18" t="s">
        <v>38</v>
      </c>
      <c r="D35" s="18" t="s">
        <v>39</v>
      </c>
      <c r="E35" s="21">
        <v>784195</v>
      </c>
      <c r="F35" s="19">
        <v>3332.8287500000001</v>
      </c>
      <c r="G35" s="20">
        <v>1.0495628400931101</v>
      </c>
      <c r="H35" s="22"/>
    </row>
    <row r="36" spans="2:8" x14ac:dyDescent="0.2">
      <c r="B36" s="18" t="s">
        <v>137</v>
      </c>
      <c r="C36" s="18" t="s">
        <v>138</v>
      </c>
      <c r="D36" s="18" t="s">
        <v>43</v>
      </c>
      <c r="E36" s="21">
        <v>1021772</v>
      </c>
      <c r="F36" s="19">
        <v>3325.8678599999998</v>
      </c>
      <c r="G36" s="20">
        <v>1.04737074082069</v>
      </c>
      <c r="H36" s="22"/>
    </row>
    <row r="37" spans="2:8" x14ac:dyDescent="0.2">
      <c r="B37" s="18" t="s">
        <v>28</v>
      </c>
      <c r="C37" s="18" t="s">
        <v>29</v>
      </c>
      <c r="D37" s="18" t="s">
        <v>30</v>
      </c>
      <c r="E37" s="21">
        <v>788696</v>
      </c>
      <c r="F37" s="19">
        <v>3277.03188</v>
      </c>
      <c r="G37" s="20">
        <v>1.0319914838254001</v>
      </c>
      <c r="H37" s="22"/>
    </row>
    <row r="38" spans="2:8" x14ac:dyDescent="0.2">
      <c r="B38" s="18" t="s">
        <v>115</v>
      </c>
      <c r="C38" s="18" t="s">
        <v>116</v>
      </c>
      <c r="D38" s="18" t="s">
        <v>36</v>
      </c>
      <c r="E38" s="21">
        <v>262426</v>
      </c>
      <c r="F38" s="19">
        <v>3227.8398000000002</v>
      </c>
      <c r="G38" s="20">
        <v>1.0165000850564501</v>
      </c>
      <c r="H38" s="22"/>
    </row>
    <row r="39" spans="2:8" x14ac:dyDescent="0.2">
      <c r="B39" s="18" t="s">
        <v>93</v>
      </c>
      <c r="C39" s="18" t="s">
        <v>94</v>
      </c>
      <c r="D39" s="18" t="s">
        <v>43</v>
      </c>
      <c r="E39" s="21">
        <v>336264</v>
      </c>
      <c r="F39" s="19">
        <v>3226.1168160000002</v>
      </c>
      <c r="G39" s="20">
        <v>1.0159574889268199</v>
      </c>
      <c r="H39" s="22"/>
    </row>
    <row r="40" spans="2:8" x14ac:dyDescent="0.2">
      <c r="B40" s="18" t="s">
        <v>21</v>
      </c>
      <c r="C40" s="18" t="s">
        <v>22</v>
      </c>
      <c r="D40" s="18" t="s">
        <v>20</v>
      </c>
      <c r="E40" s="21">
        <v>2740377</v>
      </c>
      <c r="F40" s="19">
        <v>3098.2702362</v>
      </c>
      <c r="G40" s="20">
        <v>0.97569648860056901</v>
      </c>
      <c r="H40" s="22"/>
    </row>
    <row r="41" spans="2:8" x14ac:dyDescent="0.2">
      <c r="B41" s="18" t="s">
        <v>288</v>
      </c>
      <c r="C41" s="18" t="s">
        <v>289</v>
      </c>
      <c r="D41" s="18" t="s">
        <v>20</v>
      </c>
      <c r="E41" s="21">
        <v>4223667</v>
      </c>
      <c r="F41" s="19">
        <v>2850.9752250000001</v>
      </c>
      <c r="G41" s="20">
        <v>0.89781920363777901</v>
      </c>
      <c r="H41" s="22"/>
    </row>
    <row r="42" spans="2:8" x14ac:dyDescent="0.2">
      <c r="B42" s="18" t="s">
        <v>143</v>
      </c>
      <c r="C42" s="18" t="s">
        <v>144</v>
      </c>
      <c r="D42" s="18" t="s">
        <v>33</v>
      </c>
      <c r="E42" s="21">
        <v>68528</v>
      </c>
      <c r="F42" s="19">
        <v>2813.7596800000001</v>
      </c>
      <c r="G42" s="20">
        <v>0.88609941362282096</v>
      </c>
      <c r="H42" s="22"/>
    </row>
    <row r="43" spans="2:8" x14ac:dyDescent="0.2">
      <c r="B43" s="18" t="s">
        <v>234</v>
      </c>
      <c r="C43" s="18" t="s">
        <v>235</v>
      </c>
      <c r="D43" s="18" t="s">
        <v>84</v>
      </c>
      <c r="E43" s="21">
        <v>200343</v>
      </c>
      <c r="F43" s="19">
        <v>2765.9354579999999</v>
      </c>
      <c r="G43" s="20">
        <v>0.87103877593852297</v>
      </c>
      <c r="H43" s="22"/>
    </row>
    <row r="44" spans="2:8" x14ac:dyDescent="0.2">
      <c r="B44" s="18" t="s">
        <v>159</v>
      </c>
      <c r="C44" s="18" t="s">
        <v>160</v>
      </c>
      <c r="D44" s="18" t="s">
        <v>17</v>
      </c>
      <c r="E44" s="21">
        <v>127504</v>
      </c>
      <c r="F44" s="19">
        <v>2699.2596800000001</v>
      </c>
      <c r="G44" s="20">
        <v>0.85004147179467904</v>
      </c>
      <c r="H44" s="22"/>
    </row>
    <row r="45" spans="2:8" x14ac:dyDescent="0.2">
      <c r="B45" s="18" t="s">
        <v>69</v>
      </c>
      <c r="C45" s="18" t="s">
        <v>70</v>
      </c>
      <c r="D45" s="18" t="s">
        <v>16</v>
      </c>
      <c r="E45" s="21">
        <v>206786</v>
      </c>
      <c r="F45" s="19">
        <v>2591.855724</v>
      </c>
      <c r="G45" s="20">
        <v>0.81621819146663999</v>
      </c>
      <c r="H45" s="22"/>
    </row>
    <row r="46" spans="2:8" x14ac:dyDescent="0.2">
      <c r="B46" s="18" t="s">
        <v>145</v>
      </c>
      <c r="C46" s="18" t="s">
        <v>146</v>
      </c>
      <c r="D46" s="18" t="s">
        <v>147</v>
      </c>
      <c r="E46" s="21">
        <v>606869</v>
      </c>
      <c r="F46" s="19">
        <v>2558.8631384999999</v>
      </c>
      <c r="G46" s="20">
        <v>0.805828281172151</v>
      </c>
      <c r="H46" s="22"/>
    </row>
    <row r="47" spans="2:8" x14ac:dyDescent="0.2">
      <c r="B47" s="18" t="s">
        <v>155</v>
      </c>
      <c r="C47" s="18" t="s">
        <v>156</v>
      </c>
      <c r="D47" s="18" t="s">
        <v>51</v>
      </c>
      <c r="E47" s="21">
        <v>125131</v>
      </c>
      <c r="F47" s="19">
        <v>2411.2743700000001</v>
      </c>
      <c r="G47" s="20">
        <v>0.75935013943363405</v>
      </c>
      <c r="H47" s="22"/>
    </row>
    <row r="48" spans="2:8" x14ac:dyDescent="0.2">
      <c r="B48" s="18" t="s">
        <v>148</v>
      </c>
      <c r="C48" s="18" t="s">
        <v>149</v>
      </c>
      <c r="D48" s="18" t="s">
        <v>42</v>
      </c>
      <c r="E48" s="21">
        <v>18260</v>
      </c>
      <c r="F48" s="19">
        <v>2392.06</v>
      </c>
      <c r="G48" s="20">
        <v>0.75329921685088796</v>
      </c>
      <c r="H48" s="22"/>
    </row>
    <row r="49" spans="2:8" x14ac:dyDescent="0.2">
      <c r="B49" s="18" t="s">
        <v>153</v>
      </c>
      <c r="C49" s="18" t="s">
        <v>154</v>
      </c>
      <c r="D49" s="18" t="s">
        <v>50</v>
      </c>
      <c r="E49" s="21">
        <v>103107</v>
      </c>
      <c r="F49" s="19">
        <v>2351.5613490000001</v>
      </c>
      <c r="G49" s="20">
        <v>0.74054552251135797</v>
      </c>
      <c r="H49" s="22"/>
    </row>
    <row r="50" spans="2:8" x14ac:dyDescent="0.2">
      <c r="B50" s="18" t="s">
        <v>40</v>
      </c>
      <c r="C50" s="18" t="s">
        <v>41</v>
      </c>
      <c r="D50" s="18" t="s">
        <v>42</v>
      </c>
      <c r="E50" s="21">
        <v>91832</v>
      </c>
      <c r="F50" s="19">
        <v>2206.3556319999998</v>
      </c>
      <c r="G50" s="20">
        <v>0.69481784306419803</v>
      </c>
      <c r="H50" s="22"/>
    </row>
    <row r="51" spans="2:8" x14ac:dyDescent="0.2">
      <c r="B51" s="18" t="s">
        <v>252</v>
      </c>
      <c r="C51" s="18" t="s">
        <v>253</v>
      </c>
      <c r="D51" s="18" t="s">
        <v>23</v>
      </c>
      <c r="E51" s="21">
        <v>1100224</v>
      </c>
      <c r="F51" s="19">
        <v>2206.1691648000001</v>
      </c>
      <c r="G51" s="20">
        <v>0.69475912146201102</v>
      </c>
      <c r="H51" s="22"/>
    </row>
    <row r="52" spans="2:8" x14ac:dyDescent="0.2">
      <c r="B52" s="18" t="s">
        <v>213</v>
      </c>
      <c r="C52" s="18" t="s">
        <v>214</v>
      </c>
      <c r="D52" s="18" t="s">
        <v>152</v>
      </c>
      <c r="E52" s="21">
        <v>81191</v>
      </c>
      <c r="F52" s="19">
        <v>2205.9594699999998</v>
      </c>
      <c r="G52" s="20">
        <v>0.69469308510480499</v>
      </c>
      <c r="H52" s="22"/>
    </row>
    <row r="53" spans="2:8" x14ac:dyDescent="0.2">
      <c r="B53" s="18" t="s">
        <v>173</v>
      </c>
      <c r="C53" s="18" t="s">
        <v>174</v>
      </c>
      <c r="D53" s="18" t="s">
        <v>98</v>
      </c>
      <c r="E53" s="21">
        <v>317346</v>
      </c>
      <c r="F53" s="19">
        <v>2173.9787729999998</v>
      </c>
      <c r="G53" s="20">
        <v>0.68462183521790998</v>
      </c>
      <c r="H53" s="22"/>
    </row>
    <row r="54" spans="2:8" x14ac:dyDescent="0.2">
      <c r="B54" s="18" t="s">
        <v>165</v>
      </c>
      <c r="C54" s="18" t="s">
        <v>166</v>
      </c>
      <c r="D54" s="18" t="s">
        <v>30</v>
      </c>
      <c r="E54" s="21">
        <v>6930</v>
      </c>
      <c r="F54" s="19">
        <v>2122.6590000000001</v>
      </c>
      <c r="G54" s="20">
        <v>0.66846039076841302</v>
      </c>
      <c r="H54" s="22"/>
    </row>
    <row r="55" spans="2:8" x14ac:dyDescent="0.2">
      <c r="B55" s="18" t="s">
        <v>34</v>
      </c>
      <c r="C55" s="18" t="s">
        <v>35</v>
      </c>
      <c r="D55" s="18" t="s">
        <v>36</v>
      </c>
      <c r="E55" s="21">
        <v>19810</v>
      </c>
      <c r="F55" s="19">
        <v>2105.8029999999999</v>
      </c>
      <c r="G55" s="20">
        <v>0.66315215786487403</v>
      </c>
      <c r="H55" s="22"/>
    </row>
    <row r="56" spans="2:8" x14ac:dyDescent="0.2">
      <c r="B56" s="18" t="s">
        <v>254</v>
      </c>
      <c r="C56" s="18" t="s">
        <v>255</v>
      </c>
      <c r="D56" s="18" t="s">
        <v>181</v>
      </c>
      <c r="E56" s="21">
        <v>34870</v>
      </c>
      <c r="F56" s="19">
        <v>2062.7348499999998</v>
      </c>
      <c r="G56" s="20">
        <v>0.64958928583565401</v>
      </c>
      <c r="H56" s="22"/>
    </row>
    <row r="57" spans="2:8" x14ac:dyDescent="0.2">
      <c r="B57" s="18" t="s">
        <v>184</v>
      </c>
      <c r="C57" s="18" t="s">
        <v>185</v>
      </c>
      <c r="D57" s="18" t="s">
        <v>51</v>
      </c>
      <c r="E57" s="21">
        <v>84864</v>
      </c>
      <c r="F57" s="19">
        <v>1981.319808</v>
      </c>
      <c r="G57" s="20">
        <v>0.62395034392847704</v>
      </c>
      <c r="H57" s="22"/>
    </row>
    <row r="58" spans="2:8" x14ac:dyDescent="0.2">
      <c r="B58" s="18" t="s">
        <v>179</v>
      </c>
      <c r="C58" s="18" t="s">
        <v>180</v>
      </c>
      <c r="D58" s="18" t="s">
        <v>30</v>
      </c>
      <c r="E58" s="21">
        <v>43347</v>
      </c>
      <c r="F58" s="19">
        <v>1821.00747</v>
      </c>
      <c r="G58" s="20">
        <v>0.57346533992902204</v>
      </c>
      <c r="H58" s="22"/>
    </row>
    <row r="59" spans="2:8" x14ac:dyDescent="0.2">
      <c r="B59" s="18" t="s">
        <v>238</v>
      </c>
      <c r="C59" s="18" t="s">
        <v>239</v>
      </c>
      <c r="D59" s="18" t="s">
        <v>195</v>
      </c>
      <c r="E59" s="21">
        <v>101850</v>
      </c>
      <c r="F59" s="19">
        <v>1815.88365</v>
      </c>
      <c r="G59" s="20">
        <v>0.57185176435262197</v>
      </c>
      <c r="H59" s="22"/>
    </row>
    <row r="60" spans="2:8" x14ac:dyDescent="0.2">
      <c r="B60" s="18" t="s">
        <v>221</v>
      </c>
      <c r="C60" s="18" t="s">
        <v>222</v>
      </c>
      <c r="D60" s="18" t="s">
        <v>223</v>
      </c>
      <c r="E60" s="21">
        <v>437071</v>
      </c>
      <c r="F60" s="19">
        <v>1778.87897</v>
      </c>
      <c r="G60" s="20">
        <v>0.560198379210185</v>
      </c>
      <c r="H60" s="22"/>
    </row>
    <row r="61" spans="2:8" x14ac:dyDescent="0.2">
      <c r="B61" s="18" t="s">
        <v>240</v>
      </c>
      <c r="C61" s="18" t="s">
        <v>241</v>
      </c>
      <c r="D61" s="18" t="s">
        <v>152</v>
      </c>
      <c r="E61" s="21">
        <v>291149</v>
      </c>
      <c r="F61" s="19">
        <v>1772.6606865000001</v>
      </c>
      <c r="G61" s="20">
        <v>0.55824013899434299</v>
      </c>
      <c r="H61" s="22"/>
    </row>
    <row r="62" spans="2:8" x14ac:dyDescent="0.2">
      <c r="B62" s="18" t="s">
        <v>277</v>
      </c>
      <c r="C62" s="18" t="s">
        <v>278</v>
      </c>
      <c r="D62" s="18" t="s">
        <v>43</v>
      </c>
      <c r="E62" s="21">
        <v>1373372</v>
      </c>
      <c r="F62" s="19">
        <v>1771.9245544</v>
      </c>
      <c r="G62" s="20">
        <v>0.55800831883329804</v>
      </c>
      <c r="H62" s="22"/>
    </row>
    <row r="63" spans="2:8" x14ac:dyDescent="0.2">
      <c r="B63" s="18" t="s">
        <v>113</v>
      </c>
      <c r="C63" s="18" t="s">
        <v>114</v>
      </c>
      <c r="D63" s="18" t="s">
        <v>44</v>
      </c>
      <c r="E63" s="21">
        <v>186092</v>
      </c>
      <c r="F63" s="19">
        <v>1752.614456</v>
      </c>
      <c r="G63" s="20">
        <v>0.55192724979571794</v>
      </c>
      <c r="H63" s="22"/>
    </row>
    <row r="64" spans="2:8" x14ac:dyDescent="0.2">
      <c r="B64" s="18" t="s">
        <v>175</v>
      </c>
      <c r="C64" s="18" t="s">
        <v>176</v>
      </c>
      <c r="D64" s="18" t="s">
        <v>45</v>
      </c>
      <c r="E64" s="21">
        <v>978562</v>
      </c>
      <c r="F64" s="19">
        <v>1738.7089616000001</v>
      </c>
      <c r="G64" s="20">
        <v>0.54754817985539705</v>
      </c>
      <c r="H64" s="22"/>
    </row>
    <row r="65" spans="2:8" x14ac:dyDescent="0.2">
      <c r="B65" s="18" t="s">
        <v>18</v>
      </c>
      <c r="C65" s="18" t="s">
        <v>19</v>
      </c>
      <c r="D65" s="18" t="s">
        <v>20</v>
      </c>
      <c r="E65" s="21">
        <v>134554</v>
      </c>
      <c r="F65" s="19">
        <v>1649.63204</v>
      </c>
      <c r="G65" s="20">
        <v>0.51949638546864796</v>
      </c>
      <c r="H65" s="22"/>
    </row>
    <row r="66" spans="2:8" x14ac:dyDescent="0.2">
      <c r="B66" s="18" t="s">
        <v>219</v>
      </c>
      <c r="C66" s="18" t="s">
        <v>220</v>
      </c>
      <c r="D66" s="18" t="s">
        <v>33</v>
      </c>
      <c r="E66" s="21">
        <v>115228</v>
      </c>
      <c r="F66" s="19">
        <v>1641.999</v>
      </c>
      <c r="G66" s="20">
        <v>0.51709261505561799</v>
      </c>
      <c r="H66" s="22"/>
    </row>
    <row r="67" spans="2:8" x14ac:dyDescent="0.2">
      <c r="B67" s="18" t="s">
        <v>171</v>
      </c>
      <c r="C67" s="18" t="s">
        <v>172</v>
      </c>
      <c r="D67" s="18" t="s">
        <v>30</v>
      </c>
      <c r="E67" s="21">
        <v>9414</v>
      </c>
      <c r="F67" s="19">
        <v>1636.5297599999999</v>
      </c>
      <c r="G67" s="20">
        <v>0.51537026101400996</v>
      </c>
      <c r="H67" s="22"/>
    </row>
    <row r="68" spans="2:8" x14ac:dyDescent="0.2">
      <c r="B68" s="18" t="s">
        <v>198</v>
      </c>
      <c r="C68" s="18" t="s">
        <v>199</v>
      </c>
      <c r="D68" s="18" t="s">
        <v>13</v>
      </c>
      <c r="E68" s="21">
        <v>117446</v>
      </c>
      <c r="F68" s="19">
        <v>1613.0033639999999</v>
      </c>
      <c r="G68" s="20">
        <v>0.50796141019834296</v>
      </c>
      <c r="H68" s="22"/>
    </row>
    <row r="69" spans="2:8" x14ac:dyDescent="0.2">
      <c r="B69" s="18" t="s">
        <v>261</v>
      </c>
      <c r="C69" s="18" t="s">
        <v>262</v>
      </c>
      <c r="D69" s="18" t="s">
        <v>152</v>
      </c>
      <c r="E69" s="21">
        <v>62428</v>
      </c>
      <c r="F69" s="19">
        <v>1572.311608</v>
      </c>
      <c r="G69" s="20">
        <v>0.49514690390373201</v>
      </c>
      <c r="H69" s="22"/>
    </row>
    <row r="70" spans="2:8" x14ac:dyDescent="0.2">
      <c r="B70" s="18" t="s">
        <v>232</v>
      </c>
      <c r="C70" s="18" t="s">
        <v>233</v>
      </c>
      <c r="D70" s="18" t="s">
        <v>17</v>
      </c>
      <c r="E70" s="21">
        <v>14952</v>
      </c>
      <c r="F70" s="19">
        <v>1557.5498399999999</v>
      </c>
      <c r="G70" s="20">
        <v>0.49049817925897599</v>
      </c>
      <c r="H70" s="22"/>
    </row>
    <row r="71" spans="2:8" x14ac:dyDescent="0.2">
      <c r="B71" s="18" t="s">
        <v>169</v>
      </c>
      <c r="C71" s="18" t="s">
        <v>170</v>
      </c>
      <c r="D71" s="18" t="s">
        <v>152</v>
      </c>
      <c r="E71" s="21">
        <v>32710</v>
      </c>
      <c r="F71" s="19">
        <v>1457.2304999999999</v>
      </c>
      <c r="G71" s="20">
        <v>0.458905961565023</v>
      </c>
      <c r="H71" s="22"/>
    </row>
    <row r="72" spans="2:8" x14ac:dyDescent="0.2">
      <c r="B72" s="18" t="s">
        <v>118</v>
      </c>
      <c r="C72" s="18" t="s">
        <v>119</v>
      </c>
      <c r="D72" s="18" t="s">
        <v>43</v>
      </c>
      <c r="E72" s="21">
        <v>83975</v>
      </c>
      <c r="F72" s="19">
        <v>1453.60725</v>
      </c>
      <c r="G72" s="20">
        <v>0.45776494027481501</v>
      </c>
      <c r="H72" s="22"/>
    </row>
    <row r="73" spans="2:8" x14ac:dyDescent="0.2">
      <c r="B73" s="18" t="s">
        <v>26</v>
      </c>
      <c r="C73" s="18" t="s">
        <v>27</v>
      </c>
      <c r="D73" s="18" t="s">
        <v>17</v>
      </c>
      <c r="E73" s="21">
        <v>888275</v>
      </c>
      <c r="F73" s="19">
        <v>1450.1977649999999</v>
      </c>
      <c r="G73" s="20">
        <v>0.456691237115042</v>
      </c>
      <c r="H73" s="22"/>
    </row>
    <row r="74" spans="2:8" x14ac:dyDescent="0.2">
      <c r="B74" s="18" t="s">
        <v>54</v>
      </c>
      <c r="C74" s="18" t="s">
        <v>55</v>
      </c>
      <c r="D74" s="18" t="s">
        <v>56</v>
      </c>
      <c r="E74" s="21">
        <v>17253</v>
      </c>
      <c r="F74" s="19">
        <v>1408.793715</v>
      </c>
      <c r="G74" s="20">
        <v>0.44365241767094199</v>
      </c>
      <c r="H74" s="22"/>
    </row>
    <row r="75" spans="2:8" x14ac:dyDescent="0.2">
      <c r="B75" s="18" t="s">
        <v>193</v>
      </c>
      <c r="C75" s="18" t="s">
        <v>194</v>
      </c>
      <c r="D75" s="18" t="s">
        <v>30</v>
      </c>
      <c r="E75" s="21">
        <v>37390</v>
      </c>
      <c r="F75" s="19">
        <v>1196.48</v>
      </c>
      <c r="G75" s="20">
        <v>0.37679132086057698</v>
      </c>
      <c r="H75" s="22"/>
    </row>
    <row r="76" spans="2:8" x14ac:dyDescent="0.2">
      <c r="B76" s="18" t="s">
        <v>275</v>
      </c>
      <c r="C76" s="18" t="s">
        <v>276</v>
      </c>
      <c r="D76" s="18" t="s">
        <v>17</v>
      </c>
      <c r="E76" s="21">
        <v>170016</v>
      </c>
      <c r="F76" s="19">
        <v>1177.955856</v>
      </c>
      <c r="G76" s="20">
        <v>0.37095776184950102</v>
      </c>
      <c r="H76" s="22"/>
    </row>
    <row r="77" spans="2:8" x14ac:dyDescent="0.2">
      <c r="B77" s="18" t="s">
        <v>101</v>
      </c>
      <c r="C77" s="18" t="s">
        <v>102</v>
      </c>
      <c r="D77" s="18" t="s">
        <v>51</v>
      </c>
      <c r="E77" s="21">
        <v>61183</v>
      </c>
      <c r="F77" s="19">
        <v>1111.450378</v>
      </c>
      <c r="G77" s="20">
        <v>0.350014087989442</v>
      </c>
      <c r="H77" s="22"/>
    </row>
    <row r="78" spans="2:8" x14ac:dyDescent="0.2">
      <c r="B78" s="18" t="s">
        <v>95</v>
      </c>
      <c r="C78" s="18" t="s">
        <v>96</v>
      </c>
      <c r="D78" s="18" t="s">
        <v>97</v>
      </c>
      <c r="E78" s="21">
        <v>415545</v>
      </c>
      <c r="F78" s="19">
        <v>1091.8444875</v>
      </c>
      <c r="G78" s="20">
        <v>0.34383986913234199</v>
      </c>
      <c r="H78" s="22"/>
    </row>
    <row r="79" spans="2:8" x14ac:dyDescent="0.2">
      <c r="B79" s="18" t="s">
        <v>271</v>
      </c>
      <c r="C79" s="18" t="s">
        <v>272</v>
      </c>
      <c r="D79" s="18" t="s">
        <v>192</v>
      </c>
      <c r="E79" s="21">
        <v>251168</v>
      </c>
      <c r="F79" s="19">
        <v>1083.413168</v>
      </c>
      <c r="G79" s="20">
        <v>0.34118470731517597</v>
      </c>
      <c r="H79" s="22"/>
    </row>
    <row r="80" spans="2:8" x14ac:dyDescent="0.2">
      <c r="B80" s="18" t="s">
        <v>188</v>
      </c>
      <c r="C80" s="18" t="s">
        <v>189</v>
      </c>
      <c r="D80" s="18" t="s">
        <v>181</v>
      </c>
      <c r="E80" s="21">
        <v>5256</v>
      </c>
      <c r="F80" s="19">
        <v>1035.432</v>
      </c>
      <c r="G80" s="20">
        <v>0.326074644742335</v>
      </c>
      <c r="H80" s="22"/>
    </row>
    <row r="81" spans="2:8" x14ac:dyDescent="0.2">
      <c r="B81" s="18" t="s">
        <v>236</v>
      </c>
      <c r="C81" s="18" t="s">
        <v>237</v>
      </c>
      <c r="D81" s="18" t="s">
        <v>56</v>
      </c>
      <c r="E81" s="21">
        <v>52004</v>
      </c>
      <c r="F81" s="19">
        <v>1033.3194800000001</v>
      </c>
      <c r="G81" s="20">
        <v>0.32540937729018798</v>
      </c>
      <c r="H81" s="22"/>
    </row>
    <row r="82" spans="2:8" x14ac:dyDescent="0.2">
      <c r="B82" s="18" t="s">
        <v>202</v>
      </c>
      <c r="C82" s="18" t="s">
        <v>203</v>
      </c>
      <c r="D82" s="18" t="s">
        <v>50</v>
      </c>
      <c r="E82" s="21">
        <v>535797</v>
      </c>
      <c r="F82" s="19">
        <v>985.38426270000002</v>
      </c>
      <c r="G82" s="20">
        <v>0.31031378535199799</v>
      </c>
      <c r="H82" s="22"/>
    </row>
    <row r="83" spans="2:8" x14ac:dyDescent="0.2">
      <c r="B83" s="18" t="s">
        <v>200</v>
      </c>
      <c r="C83" s="18" t="s">
        <v>201</v>
      </c>
      <c r="D83" s="18" t="s">
        <v>43</v>
      </c>
      <c r="E83" s="21">
        <v>48115</v>
      </c>
      <c r="F83" s="19">
        <v>983.42248500000005</v>
      </c>
      <c r="G83" s="20">
        <v>0.30969598914076302</v>
      </c>
      <c r="H83" s="22"/>
    </row>
    <row r="84" spans="2:8" x14ac:dyDescent="0.2">
      <c r="B84" s="18" t="s">
        <v>64</v>
      </c>
      <c r="C84" s="18" t="s">
        <v>65</v>
      </c>
      <c r="D84" s="18" t="s">
        <v>43</v>
      </c>
      <c r="E84" s="21">
        <v>8986</v>
      </c>
      <c r="F84" s="19">
        <v>969.40967999999998</v>
      </c>
      <c r="G84" s="20">
        <v>0.305283125319461</v>
      </c>
      <c r="H84" s="22"/>
    </row>
    <row r="85" spans="2:8" x14ac:dyDescent="0.2">
      <c r="B85" s="18" t="s">
        <v>134</v>
      </c>
      <c r="C85" s="18" t="s">
        <v>135</v>
      </c>
      <c r="D85" s="18" t="s">
        <v>136</v>
      </c>
      <c r="E85" s="21">
        <v>560324</v>
      </c>
      <c r="F85" s="19">
        <v>955.63258199999996</v>
      </c>
      <c r="G85" s="20">
        <v>0.30094448952693198</v>
      </c>
      <c r="H85" s="22"/>
    </row>
    <row r="86" spans="2:8" x14ac:dyDescent="0.2">
      <c r="B86" s="18" t="s">
        <v>290</v>
      </c>
      <c r="C86" s="18" t="s">
        <v>291</v>
      </c>
      <c r="D86" s="18" t="s">
        <v>42</v>
      </c>
      <c r="E86" s="21">
        <v>312963</v>
      </c>
      <c r="F86" s="19">
        <v>927.77881349999996</v>
      </c>
      <c r="G86" s="20">
        <v>0.292172877611931</v>
      </c>
      <c r="H86" s="22"/>
    </row>
    <row r="87" spans="2:8" x14ac:dyDescent="0.2">
      <c r="B87" s="18" t="s">
        <v>242</v>
      </c>
      <c r="C87" s="18" t="s">
        <v>243</v>
      </c>
      <c r="D87" s="18" t="s">
        <v>13</v>
      </c>
      <c r="E87" s="21">
        <v>172718</v>
      </c>
      <c r="F87" s="19">
        <v>923.43678699999998</v>
      </c>
      <c r="G87" s="20">
        <v>0.29080550172587699</v>
      </c>
      <c r="H87" s="22"/>
    </row>
    <row r="88" spans="2:8" x14ac:dyDescent="0.2">
      <c r="B88" s="18" t="s">
        <v>292</v>
      </c>
      <c r="C88" s="18" t="s">
        <v>293</v>
      </c>
      <c r="D88" s="18" t="s">
        <v>51</v>
      </c>
      <c r="E88" s="21">
        <v>108715</v>
      </c>
      <c r="F88" s="19">
        <v>889.83227499999998</v>
      </c>
      <c r="G88" s="20">
        <v>0.28022288566597198</v>
      </c>
      <c r="H88" s="22"/>
    </row>
    <row r="89" spans="2:8" x14ac:dyDescent="0.2">
      <c r="B89" s="18" t="s">
        <v>211</v>
      </c>
      <c r="C89" s="18" t="s">
        <v>212</v>
      </c>
      <c r="D89" s="18" t="s">
        <v>42</v>
      </c>
      <c r="E89" s="21">
        <v>193185</v>
      </c>
      <c r="F89" s="19">
        <v>879.86108249999995</v>
      </c>
      <c r="G89" s="20">
        <v>0.27708279239852901</v>
      </c>
      <c r="H89" s="22"/>
    </row>
    <row r="90" spans="2:8" x14ac:dyDescent="0.2">
      <c r="B90" s="18" t="s">
        <v>294</v>
      </c>
      <c r="C90" s="18" t="s">
        <v>295</v>
      </c>
      <c r="D90" s="18" t="s">
        <v>110</v>
      </c>
      <c r="E90" s="21">
        <v>523699</v>
      </c>
      <c r="F90" s="19">
        <v>873.26808249999999</v>
      </c>
      <c r="G90" s="20">
        <v>0.27500654776557698</v>
      </c>
      <c r="H90" s="22"/>
    </row>
    <row r="91" spans="2:8" x14ac:dyDescent="0.2">
      <c r="B91" s="18" t="s">
        <v>52</v>
      </c>
      <c r="C91" s="18" t="s">
        <v>53</v>
      </c>
      <c r="D91" s="18" t="s">
        <v>45</v>
      </c>
      <c r="E91" s="21">
        <v>107417</v>
      </c>
      <c r="F91" s="19">
        <v>844.29762000000005</v>
      </c>
      <c r="G91" s="20">
        <v>0.26588327045938198</v>
      </c>
      <c r="H91" s="22"/>
    </row>
    <row r="92" spans="2:8" x14ac:dyDescent="0.2">
      <c r="B92" s="18" t="s">
        <v>250</v>
      </c>
      <c r="C92" s="18" t="s">
        <v>251</v>
      </c>
      <c r="D92" s="18" t="s">
        <v>43</v>
      </c>
      <c r="E92" s="21">
        <v>159425</v>
      </c>
      <c r="F92" s="19">
        <v>823.98811250000006</v>
      </c>
      <c r="G92" s="20">
        <v>0.25948747098345798</v>
      </c>
      <c r="H92" s="22"/>
    </row>
    <row r="93" spans="2:8" x14ac:dyDescent="0.2">
      <c r="B93" s="18" t="s">
        <v>167</v>
      </c>
      <c r="C93" s="18" t="s">
        <v>168</v>
      </c>
      <c r="D93" s="18" t="s">
        <v>43</v>
      </c>
      <c r="E93" s="21">
        <v>272989</v>
      </c>
      <c r="F93" s="19">
        <v>816.23711000000003</v>
      </c>
      <c r="G93" s="20">
        <v>0.257046552230142</v>
      </c>
      <c r="H93" s="22"/>
    </row>
    <row r="94" spans="2:8" x14ac:dyDescent="0.2">
      <c r="B94" s="18" t="s">
        <v>248</v>
      </c>
      <c r="C94" s="18" t="s">
        <v>249</v>
      </c>
      <c r="D94" s="18" t="s">
        <v>42</v>
      </c>
      <c r="E94" s="21">
        <v>65864</v>
      </c>
      <c r="F94" s="19">
        <v>813.48626400000001</v>
      </c>
      <c r="G94" s="20">
        <v>0.25618026537384297</v>
      </c>
      <c r="H94" s="22"/>
    </row>
    <row r="95" spans="2:8" x14ac:dyDescent="0.2">
      <c r="B95" s="18" t="s">
        <v>108</v>
      </c>
      <c r="C95" s="18" t="s">
        <v>109</v>
      </c>
      <c r="D95" s="18" t="s">
        <v>110</v>
      </c>
      <c r="E95" s="21">
        <v>45067</v>
      </c>
      <c r="F95" s="19">
        <v>810.43986099999995</v>
      </c>
      <c r="G95" s="20">
        <v>0.255220902734899</v>
      </c>
      <c r="H95" s="22"/>
    </row>
    <row r="96" spans="2:8" x14ac:dyDescent="0.2">
      <c r="B96" s="18" t="s">
        <v>296</v>
      </c>
      <c r="C96" s="18" t="s">
        <v>297</v>
      </c>
      <c r="D96" s="18" t="s">
        <v>42</v>
      </c>
      <c r="E96" s="21">
        <v>442595</v>
      </c>
      <c r="F96" s="19">
        <v>787.77484049999998</v>
      </c>
      <c r="G96" s="20">
        <v>0.24808331329627301</v>
      </c>
      <c r="H96" s="22"/>
    </row>
    <row r="97" spans="2:8" x14ac:dyDescent="0.2">
      <c r="B97" s="18" t="s">
        <v>281</v>
      </c>
      <c r="C97" s="18" t="s">
        <v>282</v>
      </c>
      <c r="D97" s="18" t="s">
        <v>117</v>
      </c>
      <c r="E97" s="21">
        <v>285430</v>
      </c>
      <c r="F97" s="19">
        <v>772.08815000000004</v>
      </c>
      <c r="G97" s="20">
        <v>0.24314331527422001</v>
      </c>
      <c r="H97" s="22"/>
    </row>
    <row r="98" spans="2:8" x14ac:dyDescent="0.2">
      <c r="B98" s="18" t="s">
        <v>209</v>
      </c>
      <c r="C98" s="18" t="s">
        <v>210</v>
      </c>
      <c r="D98" s="18" t="s">
        <v>20</v>
      </c>
      <c r="E98" s="21">
        <v>588806</v>
      </c>
      <c r="F98" s="19">
        <v>766.86093440000002</v>
      </c>
      <c r="G98" s="20">
        <v>0.24149717871502399</v>
      </c>
      <c r="H98" s="22"/>
    </row>
    <row r="99" spans="2:8" x14ac:dyDescent="0.2">
      <c r="B99" s="18" t="s">
        <v>273</v>
      </c>
      <c r="C99" s="18" t="s">
        <v>274</v>
      </c>
      <c r="D99" s="18" t="s">
        <v>51</v>
      </c>
      <c r="E99" s="21">
        <v>45512</v>
      </c>
      <c r="F99" s="19">
        <v>737.02132800000004</v>
      </c>
      <c r="G99" s="20">
        <v>0.232100193634274</v>
      </c>
      <c r="H99" s="22"/>
    </row>
    <row r="100" spans="2:8" x14ac:dyDescent="0.2">
      <c r="B100" s="18" t="s">
        <v>279</v>
      </c>
      <c r="C100" s="18" t="s">
        <v>280</v>
      </c>
      <c r="D100" s="18" t="s">
        <v>17</v>
      </c>
      <c r="E100" s="21">
        <v>190238</v>
      </c>
      <c r="F100" s="19">
        <v>734.88939400000004</v>
      </c>
      <c r="G100" s="20">
        <v>0.231428812392759</v>
      </c>
      <c r="H100" s="22"/>
    </row>
    <row r="101" spans="2:8" x14ac:dyDescent="0.2">
      <c r="B101" s="18" t="s">
        <v>286</v>
      </c>
      <c r="C101" s="18" t="s">
        <v>287</v>
      </c>
      <c r="D101" s="18" t="s">
        <v>283</v>
      </c>
      <c r="E101" s="21">
        <v>80458</v>
      </c>
      <c r="F101" s="19">
        <v>732.08734200000004</v>
      </c>
      <c r="G101" s="20">
        <v>0.230546399921009</v>
      </c>
      <c r="H101" s="22"/>
    </row>
    <row r="102" spans="2:8" x14ac:dyDescent="0.2">
      <c r="B102" s="18" t="s">
        <v>163</v>
      </c>
      <c r="C102" s="18" t="s">
        <v>164</v>
      </c>
      <c r="D102" s="18" t="s">
        <v>20</v>
      </c>
      <c r="E102" s="21">
        <v>872280</v>
      </c>
      <c r="F102" s="19">
        <v>710.38483199999996</v>
      </c>
      <c r="G102" s="20">
        <v>0.22371192094192899</v>
      </c>
      <c r="H102" s="22"/>
    </row>
    <row r="103" spans="2:8" x14ac:dyDescent="0.2">
      <c r="B103" s="18" t="s">
        <v>215</v>
      </c>
      <c r="C103" s="18" t="s">
        <v>216</v>
      </c>
      <c r="D103" s="18" t="s">
        <v>20</v>
      </c>
      <c r="E103" s="21">
        <v>210902</v>
      </c>
      <c r="F103" s="19">
        <v>685.00969599999996</v>
      </c>
      <c r="G103" s="20">
        <v>0.215720871354425</v>
      </c>
      <c r="H103" s="22"/>
    </row>
    <row r="104" spans="2:8" x14ac:dyDescent="0.2">
      <c r="B104" s="18" t="s">
        <v>259</v>
      </c>
      <c r="C104" s="18" t="s">
        <v>260</v>
      </c>
      <c r="D104" s="18" t="s">
        <v>107</v>
      </c>
      <c r="E104" s="21">
        <v>505724</v>
      </c>
      <c r="F104" s="19">
        <v>676.91157399999997</v>
      </c>
      <c r="G104" s="20">
        <v>0.21317063893527</v>
      </c>
      <c r="H104" s="22"/>
    </row>
    <row r="105" spans="2:8" x14ac:dyDescent="0.2">
      <c r="B105" s="18" t="s">
        <v>196</v>
      </c>
      <c r="C105" s="18" t="s">
        <v>197</v>
      </c>
      <c r="D105" s="18" t="s">
        <v>50</v>
      </c>
      <c r="E105" s="21">
        <v>20441</v>
      </c>
      <c r="F105" s="19">
        <v>674.63476400000002</v>
      </c>
      <c r="G105" s="20">
        <v>0.21245363384763899</v>
      </c>
      <c r="H105" s="22"/>
    </row>
    <row r="106" spans="2:8" x14ac:dyDescent="0.2">
      <c r="B106" s="18" t="s">
        <v>298</v>
      </c>
      <c r="C106" s="18" t="s">
        <v>299</v>
      </c>
      <c r="D106" s="18" t="s">
        <v>36</v>
      </c>
      <c r="E106" s="21">
        <v>77335</v>
      </c>
      <c r="F106" s="19">
        <v>658.54619249999996</v>
      </c>
      <c r="G106" s="20">
        <v>0.207387076858601</v>
      </c>
      <c r="H106" s="22"/>
    </row>
    <row r="107" spans="2:8" x14ac:dyDescent="0.2">
      <c r="B107" s="18" t="s">
        <v>300</v>
      </c>
      <c r="C107" s="18" t="s">
        <v>301</v>
      </c>
      <c r="D107" s="18" t="s">
        <v>30</v>
      </c>
      <c r="E107" s="21">
        <v>8406</v>
      </c>
      <c r="F107" s="19">
        <v>655.41582000000005</v>
      </c>
      <c r="G107" s="20">
        <v>0.206401270836719</v>
      </c>
      <c r="H107" s="22"/>
    </row>
    <row r="108" spans="2:8" x14ac:dyDescent="0.2">
      <c r="B108" s="18" t="s">
        <v>302</v>
      </c>
      <c r="C108" s="18" t="s">
        <v>303</v>
      </c>
      <c r="D108" s="18" t="s">
        <v>98</v>
      </c>
      <c r="E108" s="21">
        <v>303102</v>
      </c>
      <c r="F108" s="19">
        <v>622.45026719999998</v>
      </c>
      <c r="G108" s="20">
        <v>0.19601987358610801</v>
      </c>
      <c r="H108" s="22"/>
    </row>
    <row r="109" spans="2:8" x14ac:dyDescent="0.2">
      <c r="B109" s="18" t="s">
        <v>226</v>
      </c>
      <c r="C109" s="18" t="s">
        <v>227</v>
      </c>
      <c r="D109" s="18" t="s">
        <v>30</v>
      </c>
      <c r="E109" s="21">
        <v>75895</v>
      </c>
      <c r="F109" s="19">
        <v>596.57264750000002</v>
      </c>
      <c r="G109" s="20">
        <v>0.18787058357917899</v>
      </c>
      <c r="H109" s="22"/>
    </row>
    <row r="110" spans="2:8" x14ac:dyDescent="0.2">
      <c r="B110" s="18" t="s">
        <v>182</v>
      </c>
      <c r="C110" s="18" t="s">
        <v>183</v>
      </c>
      <c r="D110" s="18" t="s">
        <v>147</v>
      </c>
      <c r="E110" s="21">
        <v>21822</v>
      </c>
      <c r="F110" s="19">
        <v>592.51094399999999</v>
      </c>
      <c r="G110" s="20">
        <v>0.186591486037466</v>
      </c>
      <c r="H110" s="22"/>
    </row>
    <row r="111" spans="2:8" x14ac:dyDescent="0.2">
      <c r="B111" s="18" t="s">
        <v>269</v>
      </c>
      <c r="C111" s="18" t="s">
        <v>270</v>
      </c>
      <c r="D111" s="18" t="s">
        <v>43</v>
      </c>
      <c r="E111" s="21">
        <v>44973</v>
      </c>
      <c r="F111" s="19">
        <v>572.05655999999999</v>
      </c>
      <c r="G111" s="20">
        <v>0.180150062557968</v>
      </c>
      <c r="H111" s="22"/>
    </row>
    <row r="112" spans="2:8" x14ac:dyDescent="0.2">
      <c r="B112" s="18" t="s">
        <v>284</v>
      </c>
      <c r="C112" s="18" t="s">
        <v>285</v>
      </c>
      <c r="D112" s="18" t="s">
        <v>10</v>
      </c>
      <c r="E112" s="21">
        <v>493446</v>
      </c>
      <c r="F112" s="19">
        <v>559.46907480000004</v>
      </c>
      <c r="G112" s="20">
        <v>0.176186055491556</v>
      </c>
      <c r="H112" s="22"/>
    </row>
    <row r="113" spans="2:8" x14ac:dyDescent="0.2">
      <c r="B113" s="18" t="s">
        <v>161</v>
      </c>
      <c r="C113" s="18" t="s">
        <v>162</v>
      </c>
      <c r="D113" s="18" t="s">
        <v>20</v>
      </c>
      <c r="E113" s="21">
        <v>173694</v>
      </c>
      <c r="F113" s="19">
        <v>551.304756</v>
      </c>
      <c r="G113" s="20">
        <v>0.17361497660634301</v>
      </c>
      <c r="H113" s="22"/>
    </row>
    <row r="114" spans="2:8" x14ac:dyDescent="0.2">
      <c r="B114" s="18" t="s">
        <v>304</v>
      </c>
      <c r="C114" s="18" t="s">
        <v>305</v>
      </c>
      <c r="D114" s="18" t="s">
        <v>17</v>
      </c>
      <c r="E114" s="21">
        <v>403826</v>
      </c>
      <c r="F114" s="19">
        <v>550.61675100000002</v>
      </c>
      <c r="G114" s="20">
        <v>0.17339831246426901</v>
      </c>
      <c r="H114" s="22"/>
    </row>
    <row r="115" spans="2:8" x14ac:dyDescent="0.2">
      <c r="B115" s="18" t="s">
        <v>207</v>
      </c>
      <c r="C115" s="18" t="s">
        <v>208</v>
      </c>
      <c r="D115" s="18" t="s">
        <v>50</v>
      </c>
      <c r="E115" s="21">
        <v>17399</v>
      </c>
      <c r="F115" s="19">
        <v>545.75443299999995</v>
      </c>
      <c r="G115" s="20">
        <v>0.17186708818834001</v>
      </c>
      <c r="H115" s="22"/>
    </row>
    <row r="116" spans="2:8" x14ac:dyDescent="0.2">
      <c r="B116" s="18" t="s">
        <v>105</v>
      </c>
      <c r="C116" s="18" t="s">
        <v>106</v>
      </c>
      <c r="D116" s="18" t="s">
        <v>107</v>
      </c>
      <c r="E116" s="21">
        <v>141560</v>
      </c>
      <c r="F116" s="19">
        <v>456.88490000000002</v>
      </c>
      <c r="G116" s="20">
        <v>0.143880603898312</v>
      </c>
      <c r="H116" s="22"/>
    </row>
    <row r="117" spans="2:8" x14ac:dyDescent="0.2">
      <c r="B117" s="18" t="s">
        <v>306</v>
      </c>
      <c r="C117" s="18" t="s">
        <v>307</v>
      </c>
      <c r="D117" s="18" t="s">
        <v>117</v>
      </c>
      <c r="E117" s="21">
        <v>162581</v>
      </c>
      <c r="F117" s="19">
        <v>455.63325250000003</v>
      </c>
      <c r="G117" s="20">
        <v>0.14348643942019601</v>
      </c>
      <c r="H117" s="22"/>
    </row>
    <row r="118" spans="2:8" x14ac:dyDescent="0.2">
      <c r="B118" s="18" t="s">
        <v>246</v>
      </c>
      <c r="C118" s="18" t="s">
        <v>247</v>
      </c>
      <c r="D118" s="18" t="s">
        <v>181</v>
      </c>
      <c r="E118" s="21">
        <v>29717</v>
      </c>
      <c r="F118" s="19">
        <v>454.61066599999998</v>
      </c>
      <c r="G118" s="20">
        <v>0.14316441003564301</v>
      </c>
      <c r="H118" s="22"/>
    </row>
    <row r="119" spans="2:8" x14ac:dyDescent="0.2">
      <c r="B119" s="18" t="s">
        <v>308</v>
      </c>
      <c r="C119" s="18" t="s">
        <v>309</v>
      </c>
      <c r="D119" s="18" t="s">
        <v>20</v>
      </c>
      <c r="E119" s="21">
        <v>132362</v>
      </c>
      <c r="F119" s="19">
        <v>435.47098</v>
      </c>
      <c r="G119" s="20">
        <v>0.13713700667846501</v>
      </c>
      <c r="H119" s="22"/>
    </row>
    <row r="120" spans="2:8" x14ac:dyDescent="0.2">
      <c r="B120" s="18" t="s">
        <v>111</v>
      </c>
      <c r="C120" s="18" t="s">
        <v>112</v>
      </c>
      <c r="D120" s="18" t="s">
        <v>43</v>
      </c>
      <c r="E120" s="21">
        <v>42973</v>
      </c>
      <c r="F120" s="19">
        <v>422.29567100000003</v>
      </c>
      <c r="G120" s="20">
        <v>0.13298788418510399</v>
      </c>
      <c r="H120" s="22"/>
    </row>
    <row r="121" spans="2:8" x14ac:dyDescent="0.2">
      <c r="B121" s="18" t="s">
        <v>48</v>
      </c>
      <c r="C121" s="18" t="s">
        <v>49</v>
      </c>
      <c r="D121" s="18" t="s">
        <v>50</v>
      </c>
      <c r="E121" s="21">
        <v>13425</v>
      </c>
      <c r="F121" s="19">
        <v>415.101</v>
      </c>
      <c r="G121" s="20">
        <v>0.130722163413134</v>
      </c>
      <c r="H121" s="22"/>
    </row>
    <row r="122" spans="2:8" x14ac:dyDescent="0.2">
      <c r="B122" s="18" t="s">
        <v>205</v>
      </c>
      <c r="C122" s="18" t="s">
        <v>206</v>
      </c>
      <c r="D122" s="18" t="s">
        <v>43</v>
      </c>
      <c r="E122" s="21">
        <v>147433</v>
      </c>
      <c r="F122" s="19">
        <v>390.69745</v>
      </c>
      <c r="G122" s="20">
        <v>0.123037082310075</v>
      </c>
      <c r="H122" s="22"/>
    </row>
    <row r="123" spans="2:8" x14ac:dyDescent="0.2">
      <c r="B123" s="18" t="s">
        <v>310</v>
      </c>
      <c r="C123" s="18" t="s">
        <v>311</v>
      </c>
      <c r="D123" s="18" t="s">
        <v>56</v>
      </c>
      <c r="E123" s="21">
        <v>60496</v>
      </c>
      <c r="F123" s="19">
        <v>357.38011999999998</v>
      </c>
      <c r="G123" s="20">
        <v>0.11254490460694</v>
      </c>
      <c r="H123" s="22"/>
    </row>
    <row r="124" spans="2:8" x14ac:dyDescent="0.2">
      <c r="B124" s="18" t="s">
        <v>312</v>
      </c>
      <c r="C124" s="18" t="s">
        <v>313</v>
      </c>
      <c r="D124" s="18" t="s">
        <v>107</v>
      </c>
      <c r="E124" s="21">
        <v>222822</v>
      </c>
      <c r="F124" s="19">
        <v>346.62190320000002</v>
      </c>
      <c r="G124" s="20">
        <v>0.109156964383805</v>
      </c>
      <c r="H124" s="22"/>
    </row>
    <row r="125" spans="2:8" x14ac:dyDescent="0.2">
      <c r="B125" s="18" t="s">
        <v>230</v>
      </c>
      <c r="C125" s="18" t="s">
        <v>231</v>
      </c>
      <c r="D125" s="18" t="s">
        <v>51</v>
      </c>
      <c r="E125" s="21">
        <v>10329</v>
      </c>
      <c r="F125" s="19">
        <v>338.72922599999998</v>
      </c>
      <c r="G125" s="20">
        <v>0.106671429926635</v>
      </c>
      <c r="H125" s="22"/>
    </row>
    <row r="126" spans="2:8" x14ac:dyDescent="0.2">
      <c r="B126" s="18" t="s">
        <v>186</v>
      </c>
      <c r="C126" s="18" t="s">
        <v>187</v>
      </c>
      <c r="D126" s="18" t="s">
        <v>23</v>
      </c>
      <c r="E126" s="21">
        <v>109710</v>
      </c>
      <c r="F126" s="19">
        <v>332.64071999999999</v>
      </c>
      <c r="G126" s="20">
        <v>0.10475405878979401</v>
      </c>
      <c r="H126" s="22"/>
    </row>
    <row r="127" spans="2:8" x14ac:dyDescent="0.2">
      <c r="B127" s="18" t="s">
        <v>314</v>
      </c>
      <c r="C127" s="18" t="s">
        <v>315</v>
      </c>
      <c r="D127" s="18" t="s">
        <v>204</v>
      </c>
      <c r="E127" s="21">
        <v>64824</v>
      </c>
      <c r="F127" s="19">
        <v>298.44969600000002</v>
      </c>
      <c r="G127" s="20">
        <v>9.3986740410435199E-2</v>
      </c>
      <c r="H127" s="22"/>
    </row>
    <row r="128" spans="2:8" x14ac:dyDescent="0.2">
      <c r="B128" s="18" t="s">
        <v>228</v>
      </c>
      <c r="C128" s="18" t="s">
        <v>229</v>
      </c>
      <c r="D128" s="18" t="s">
        <v>136</v>
      </c>
      <c r="E128" s="21">
        <v>21041</v>
      </c>
      <c r="F128" s="19">
        <v>290.386841</v>
      </c>
      <c r="G128" s="20">
        <v>9.1447614152280199E-2</v>
      </c>
      <c r="H128" s="22"/>
    </row>
    <row r="129" spans="2:9" x14ac:dyDescent="0.2">
      <c r="B129" s="18" t="s">
        <v>177</v>
      </c>
      <c r="C129" s="18" t="s">
        <v>178</v>
      </c>
      <c r="D129" s="18" t="s">
        <v>36</v>
      </c>
      <c r="E129" s="21">
        <v>16082</v>
      </c>
      <c r="F129" s="19">
        <v>281.29026199999998</v>
      </c>
      <c r="G129" s="20">
        <v>8.8582951126803297E-2</v>
      </c>
      <c r="H129" s="22"/>
    </row>
    <row r="130" spans="2:9" x14ac:dyDescent="0.2">
      <c r="B130" s="18" t="s">
        <v>316</v>
      </c>
      <c r="C130" s="18" t="s">
        <v>317</v>
      </c>
      <c r="D130" s="18" t="s">
        <v>51</v>
      </c>
      <c r="E130" s="21">
        <v>86592</v>
      </c>
      <c r="F130" s="19">
        <v>279.08601599999997</v>
      </c>
      <c r="G130" s="20">
        <v>8.7888797641712396E-2</v>
      </c>
      <c r="H130" s="22"/>
    </row>
    <row r="131" spans="2:9" x14ac:dyDescent="0.2">
      <c r="B131" s="18" t="s">
        <v>89</v>
      </c>
      <c r="C131" s="18" t="s">
        <v>90</v>
      </c>
      <c r="D131" s="18" t="s">
        <v>20</v>
      </c>
      <c r="E131" s="21">
        <v>52940</v>
      </c>
      <c r="F131" s="19">
        <v>220.75980000000001</v>
      </c>
      <c r="G131" s="20">
        <v>6.95209085274444E-2</v>
      </c>
      <c r="H131" s="22"/>
    </row>
    <row r="132" spans="2:9" x14ac:dyDescent="0.2">
      <c r="B132" s="18" t="s">
        <v>318</v>
      </c>
      <c r="C132" s="18" t="s">
        <v>319</v>
      </c>
      <c r="D132" s="18" t="s">
        <v>20</v>
      </c>
      <c r="E132" s="21">
        <v>280457</v>
      </c>
      <c r="F132" s="19">
        <v>193.31901010000001</v>
      </c>
      <c r="G132" s="20">
        <v>6.08793503970297E-2</v>
      </c>
      <c r="H132" s="22"/>
    </row>
    <row r="133" spans="2:9" x14ac:dyDescent="0.2">
      <c r="B133" s="18" t="s">
        <v>320</v>
      </c>
      <c r="C133" s="18" t="s">
        <v>321</v>
      </c>
      <c r="D133" s="18" t="s">
        <v>51</v>
      </c>
      <c r="E133" s="21">
        <v>67881</v>
      </c>
      <c r="F133" s="19">
        <v>191.152896</v>
      </c>
      <c r="G133" s="20">
        <v>6.01972052772837E-2</v>
      </c>
      <c r="H133" s="22"/>
    </row>
    <row r="134" spans="2:9" x14ac:dyDescent="0.2">
      <c r="B134" s="18" t="s">
        <v>265</v>
      </c>
      <c r="C134" s="18" t="s">
        <v>266</v>
      </c>
      <c r="D134" s="18" t="s">
        <v>45</v>
      </c>
      <c r="E134" s="21">
        <v>18215</v>
      </c>
      <c r="F134" s="19">
        <v>185.70192499999999</v>
      </c>
      <c r="G134" s="20">
        <v>5.8480604445625299E-2</v>
      </c>
      <c r="H134" s="22"/>
    </row>
    <row r="135" spans="2:9" x14ac:dyDescent="0.2">
      <c r="B135" s="18" t="s">
        <v>322</v>
      </c>
      <c r="C135" s="18" t="s">
        <v>323</v>
      </c>
      <c r="D135" s="18" t="s">
        <v>117</v>
      </c>
      <c r="E135" s="21">
        <v>136204</v>
      </c>
      <c r="F135" s="19">
        <v>177.84156279999999</v>
      </c>
      <c r="G135" s="20">
        <v>5.6005246515880902E-2</v>
      </c>
      <c r="H135" s="22"/>
    </row>
    <row r="136" spans="2:9" x14ac:dyDescent="0.2">
      <c r="B136" s="18" t="s">
        <v>244</v>
      </c>
      <c r="C136" s="18" t="s">
        <v>245</v>
      </c>
      <c r="D136" s="18" t="s">
        <v>51</v>
      </c>
      <c r="E136" s="21">
        <v>20650</v>
      </c>
      <c r="F136" s="19">
        <v>174.81257500000001</v>
      </c>
      <c r="G136" s="20">
        <v>5.5051368211159898E-2</v>
      </c>
      <c r="H136" s="22"/>
    </row>
    <row r="137" spans="2:9" x14ac:dyDescent="0.2">
      <c r="B137" s="18" t="s">
        <v>324</v>
      </c>
      <c r="C137" s="18" t="s">
        <v>325</v>
      </c>
      <c r="D137" s="18" t="s">
        <v>152</v>
      </c>
      <c r="E137" s="21">
        <v>7674</v>
      </c>
      <c r="F137" s="19">
        <v>158.63692800000001</v>
      </c>
      <c r="G137" s="20">
        <v>4.9957389708465E-2</v>
      </c>
      <c r="H137" s="22"/>
    </row>
    <row r="138" spans="2:9" x14ac:dyDescent="0.2">
      <c r="B138" s="18" t="s">
        <v>256</v>
      </c>
      <c r="C138" s="18" t="s">
        <v>257</v>
      </c>
      <c r="D138" s="18" t="s">
        <v>258</v>
      </c>
      <c r="E138" s="21">
        <v>11396</v>
      </c>
      <c r="F138" s="19">
        <v>141.61809199999999</v>
      </c>
      <c r="G138" s="20">
        <v>4.45978770580659E-2</v>
      </c>
      <c r="H138" s="22"/>
    </row>
    <row r="139" spans="2:9" x14ac:dyDescent="0.2">
      <c r="B139" s="18" t="s">
        <v>326</v>
      </c>
      <c r="C139" s="18" t="s">
        <v>327</v>
      </c>
      <c r="D139" s="18" t="s">
        <v>13</v>
      </c>
      <c r="E139" s="21">
        <v>161252</v>
      </c>
      <c r="F139" s="19">
        <v>120.6326212</v>
      </c>
      <c r="G139" s="20">
        <v>3.7989205570357697E-2</v>
      </c>
      <c r="H139" s="22"/>
    </row>
    <row r="140" spans="2:9" x14ac:dyDescent="0.2">
      <c r="B140" s="18" t="s">
        <v>263</v>
      </c>
      <c r="C140" s="18" t="s">
        <v>264</v>
      </c>
      <c r="D140" s="18" t="s">
        <v>107</v>
      </c>
      <c r="E140" s="21">
        <v>20826</v>
      </c>
      <c r="F140" s="19">
        <v>116.49023099999999</v>
      </c>
      <c r="G140" s="20">
        <v>3.6684698453667203E-2</v>
      </c>
      <c r="H140" s="22"/>
    </row>
    <row r="141" spans="2:9" x14ac:dyDescent="0.2">
      <c r="B141" s="18" t="s">
        <v>224</v>
      </c>
      <c r="C141" s="18" t="s">
        <v>225</v>
      </c>
      <c r="D141" s="18" t="s">
        <v>51</v>
      </c>
      <c r="E141" s="21">
        <v>418</v>
      </c>
      <c r="F141" s="19">
        <v>89.242999999999995</v>
      </c>
      <c r="G141" s="20">
        <v>2.8104095218942599E-2</v>
      </c>
      <c r="H141" s="22"/>
    </row>
    <row r="142" spans="2:9" x14ac:dyDescent="0.2">
      <c r="B142" s="18" t="s">
        <v>328</v>
      </c>
      <c r="C142" s="18" t="s">
        <v>329</v>
      </c>
      <c r="D142" s="18" t="s">
        <v>51</v>
      </c>
      <c r="E142" s="21">
        <v>9000</v>
      </c>
      <c r="F142" s="19">
        <v>74.290499999999994</v>
      </c>
      <c r="G142" s="20">
        <v>2.33953059160142E-2</v>
      </c>
      <c r="H142" s="22"/>
    </row>
    <row r="143" spans="2:9" x14ac:dyDescent="0.2">
      <c r="B143" s="18" t="s">
        <v>330</v>
      </c>
      <c r="C143" s="18" t="s">
        <v>331</v>
      </c>
      <c r="D143" s="18" t="s">
        <v>84</v>
      </c>
      <c r="E143" s="21">
        <v>3597</v>
      </c>
      <c r="F143" s="19">
        <v>19.7852985</v>
      </c>
      <c r="G143" s="20">
        <v>6.2307174005714998E-3</v>
      </c>
      <c r="H143" s="22"/>
    </row>
    <row r="144" spans="2:9" ht="10.5" x14ac:dyDescent="0.25">
      <c r="B144" s="17" t="s">
        <v>71</v>
      </c>
      <c r="C144" s="17"/>
      <c r="D144" s="17"/>
      <c r="E144" s="17"/>
      <c r="F144" s="23">
        <f>SUM(F7:F143)</f>
        <v>314499.94480830006</v>
      </c>
      <c r="G144" s="24">
        <f>SUM(G7:G143)</f>
        <v>99.041228950670131</v>
      </c>
      <c r="H144" s="17"/>
      <c r="I144" s="11"/>
    </row>
    <row r="145" spans="2:9" ht="10.5" x14ac:dyDescent="0.25">
      <c r="B145" s="17" t="s">
        <v>72</v>
      </c>
      <c r="C145" s="17"/>
      <c r="D145" s="17"/>
      <c r="E145" s="17"/>
      <c r="F145" s="25" t="s">
        <v>73</v>
      </c>
      <c r="G145" s="26" t="s">
        <v>73</v>
      </c>
      <c r="H145" s="17"/>
      <c r="I145" s="11"/>
    </row>
    <row r="146" spans="2:9" ht="10.5" x14ac:dyDescent="0.25">
      <c r="B146" s="17" t="s">
        <v>71</v>
      </c>
      <c r="C146" s="17"/>
      <c r="D146" s="17"/>
      <c r="E146" s="17"/>
      <c r="F146" s="27" t="s">
        <v>73</v>
      </c>
      <c r="G146" s="28" t="s">
        <v>73</v>
      </c>
      <c r="H146" s="17"/>
      <c r="I146" s="11"/>
    </row>
    <row r="147" spans="2:9" ht="10.5" x14ac:dyDescent="0.25">
      <c r="B147" s="29" t="s">
        <v>74</v>
      </c>
      <c r="C147" s="29"/>
      <c r="D147" s="29"/>
      <c r="E147" s="29"/>
      <c r="F147" s="30">
        <f>F144</f>
        <v>314499.94480830006</v>
      </c>
      <c r="G147" s="31">
        <f>G144</f>
        <v>99.041228950670131</v>
      </c>
      <c r="H147" s="17"/>
      <c r="I147" s="11"/>
    </row>
    <row r="148" spans="2:9" ht="10.5" x14ac:dyDescent="0.25">
      <c r="B148" s="17" t="s">
        <v>76</v>
      </c>
      <c r="C148" s="17"/>
      <c r="D148" s="17"/>
      <c r="E148" s="17"/>
      <c r="F148" s="23">
        <v>6848.0074679999998</v>
      </c>
      <c r="G148" s="24">
        <v>2.1565506979897799</v>
      </c>
      <c r="H148" s="22">
        <v>5.163222E-2</v>
      </c>
      <c r="I148" s="12"/>
    </row>
    <row r="149" spans="2:9" x14ac:dyDescent="0.2">
      <c r="B149" s="18"/>
      <c r="C149" s="18"/>
      <c r="D149" s="18"/>
      <c r="E149" s="18"/>
      <c r="F149" s="19"/>
      <c r="G149" s="20"/>
      <c r="H149" s="18"/>
    </row>
    <row r="150" spans="2:9" ht="10.5" x14ac:dyDescent="0.25">
      <c r="B150" s="36" t="s">
        <v>78</v>
      </c>
      <c r="C150" s="36"/>
      <c r="D150" s="36"/>
      <c r="E150" s="36"/>
      <c r="F150" s="23">
        <f>F151-(F144+F148)</f>
        <v>-3803.4830281000468</v>
      </c>
      <c r="G150" s="24">
        <f>G151-(G144+G148)</f>
        <v>-1.1977796486599175</v>
      </c>
      <c r="H150" s="17"/>
      <c r="I150" s="11"/>
    </row>
    <row r="151" spans="2:9" ht="10.5" x14ac:dyDescent="0.25">
      <c r="B151" s="32" t="s">
        <v>77</v>
      </c>
      <c r="C151" s="32"/>
      <c r="D151" s="32"/>
      <c r="E151" s="32"/>
      <c r="F151" s="33">
        <v>317544.46924820001</v>
      </c>
      <c r="G151" s="34">
        <v>100</v>
      </c>
      <c r="H151" s="35"/>
      <c r="I151" s="11"/>
    </row>
    <row r="153" spans="2:9" ht="10.5" x14ac:dyDescent="0.25">
      <c r="B153" s="11" t="s">
        <v>80</v>
      </c>
    </row>
    <row r="154" spans="2:9" ht="10.5" x14ac:dyDescent="0.25">
      <c r="B154" s="11"/>
    </row>
    <row r="155" spans="2:9" x14ac:dyDescent="0.2">
      <c r="B155" s="41" t="s">
        <v>335</v>
      </c>
    </row>
    <row r="156" spans="2:9" x14ac:dyDescent="0.2">
      <c r="B156" s="41" t="s">
        <v>341</v>
      </c>
    </row>
    <row r="157" spans="2:9" x14ac:dyDescent="0.2">
      <c r="B157" s="41" t="s">
        <v>342</v>
      </c>
    </row>
    <row r="158" spans="2:9" ht="10.5" x14ac:dyDescent="0.2">
      <c r="B158" s="39"/>
    </row>
    <row r="159" spans="2:9" ht="10.5" x14ac:dyDescent="0.2">
      <c r="B159" s="42" t="s">
        <v>336</v>
      </c>
      <c r="C159" s="69" t="s">
        <v>340</v>
      </c>
      <c r="D159" s="69" t="s">
        <v>337</v>
      </c>
    </row>
    <row r="160" spans="2:9" x14ac:dyDescent="0.2">
      <c r="B160" s="43" t="s">
        <v>338</v>
      </c>
      <c r="C160" s="67">
        <v>10.1241</v>
      </c>
      <c r="D160" s="67">
        <v>9.6031999999999993</v>
      </c>
    </row>
    <row r="161" spans="2:6" x14ac:dyDescent="0.2">
      <c r="B161" s="43" t="s">
        <v>339</v>
      </c>
      <c r="C161" s="68">
        <v>9.9659999999999993</v>
      </c>
      <c r="D161" s="45">
        <v>9.4441000000000006</v>
      </c>
    </row>
    <row r="162" spans="2:6" ht="10.5" x14ac:dyDescent="0.2">
      <c r="B162" s="39"/>
    </row>
    <row r="163" spans="2:6" ht="10.5" x14ac:dyDescent="0.2">
      <c r="B163" s="39"/>
    </row>
    <row r="164" spans="2:6" x14ac:dyDescent="0.2">
      <c r="B164" s="41" t="s">
        <v>378</v>
      </c>
    </row>
    <row r="165" spans="2:6" x14ac:dyDescent="0.2">
      <c r="B165" s="41"/>
    </row>
    <row r="166" spans="2:6" ht="10.5" x14ac:dyDescent="0.2">
      <c r="B166" s="46" t="s">
        <v>367</v>
      </c>
    </row>
    <row r="167" spans="2:6" x14ac:dyDescent="0.2">
      <c r="B167" s="47"/>
    </row>
    <row r="168" spans="2:6" ht="10.5" x14ac:dyDescent="0.2">
      <c r="B168" s="46" t="s">
        <v>368</v>
      </c>
    </row>
    <row r="169" spans="2:6" ht="31.5" x14ac:dyDescent="0.2">
      <c r="B169" s="48" t="s">
        <v>343</v>
      </c>
      <c r="C169" s="49" t="s">
        <v>344</v>
      </c>
      <c r="D169" s="49" t="s">
        <v>345</v>
      </c>
      <c r="E169" s="49" t="s">
        <v>346</v>
      </c>
      <c r="F169" s="49" t="s">
        <v>347</v>
      </c>
    </row>
    <row r="170" spans="2:6" x14ac:dyDescent="0.2">
      <c r="B170" s="78" t="s">
        <v>75</v>
      </c>
      <c r="C170" s="79"/>
      <c r="D170" s="79"/>
      <c r="E170" s="79"/>
      <c r="F170" s="80"/>
    </row>
    <row r="171" spans="2:6" x14ac:dyDescent="0.2">
      <c r="B171" s="47" t="s">
        <v>348</v>
      </c>
    </row>
    <row r="172" spans="2:6" x14ac:dyDescent="0.2">
      <c r="B172" s="47" t="s">
        <v>369</v>
      </c>
    </row>
    <row r="173" spans="2:6" x14ac:dyDescent="0.2">
      <c r="B173" s="47"/>
    </row>
    <row r="174" spans="2:6" x14ac:dyDescent="0.2">
      <c r="B174" s="81" t="s">
        <v>349</v>
      </c>
      <c r="C174" s="81" t="s">
        <v>350</v>
      </c>
      <c r="D174" s="81" t="s">
        <v>351</v>
      </c>
      <c r="E174" s="81" t="s">
        <v>352</v>
      </c>
      <c r="F174" s="81" t="s">
        <v>353</v>
      </c>
    </row>
    <row r="175" spans="2:6" ht="10" customHeight="1" x14ac:dyDescent="0.2">
      <c r="B175" s="82"/>
      <c r="C175" s="82"/>
      <c r="D175" s="82"/>
      <c r="E175" s="82"/>
      <c r="F175" s="82"/>
    </row>
    <row r="176" spans="2:6" ht="10" customHeight="1" x14ac:dyDescent="0.2">
      <c r="B176" s="78" t="s">
        <v>75</v>
      </c>
      <c r="C176" s="79"/>
      <c r="D176" s="79"/>
      <c r="E176" s="79"/>
      <c r="F176" s="80"/>
    </row>
    <row r="177" spans="2:6" x14ac:dyDescent="0.2">
      <c r="B177" s="47"/>
    </row>
    <row r="178" spans="2:6" ht="10.5" x14ac:dyDescent="0.25">
      <c r="B178" s="50" t="s">
        <v>370</v>
      </c>
      <c r="C178" s="51"/>
      <c r="D178" s="51"/>
      <c r="E178" s="51"/>
      <c r="F178" s="51"/>
    </row>
    <row r="179" spans="2:6" x14ac:dyDescent="0.2">
      <c r="B179" s="52"/>
      <c r="C179" s="51"/>
      <c r="D179" s="51"/>
      <c r="E179" s="51"/>
      <c r="F179" s="51"/>
    </row>
    <row r="180" spans="2:6" ht="31.5" x14ac:dyDescent="0.2">
      <c r="B180" s="48" t="s">
        <v>343</v>
      </c>
      <c r="C180" s="49" t="s">
        <v>344</v>
      </c>
      <c r="D180" s="49" t="s">
        <v>345</v>
      </c>
      <c r="E180" s="49" t="s">
        <v>346</v>
      </c>
      <c r="F180" s="49" t="s">
        <v>347</v>
      </c>
    </row>
    <row r="181" spans="2:6" x14ac:dyDescent="0.2">
      <c r="B181" s="78" t="s">
        <v>75</v>
      </c>
      <c r="C181" s="79"/>
      <c r="D181" s="79"/>
      <c r="E181" s="79"/>
      <c r="F181" s="80"/>
    </row>
    <row r="182" spans="2:6" x14ac:dyDescent="0.2">
      <c r="B182" s="70"/>
      <c r="C182" s="71"/>
      <c r="D182" s="71"/>
      <c r="E182" s="71"/>
      <c r="F182" s="71"/>
    </row>
    <row r="183" spans="2:6" x14ac:dyDescent="0.2">
      <c r="B183" s="70" t="s">
        <v>379</v>
      </c>
      <c r="C183" s="71"/>
      <c r="D183" s="71"/>
      <c r="E183" s="71"/>
      <c r="F183" s="71"/>
    </row>
    <row r="184" spans="2:6" ht="10.5" x14ac:dyDescent="0.2">
      <c r="B184" s="51" t="s">
        <v>371</v>
      </c>
      <c r="C184" s="53"/>
      <c r="D184" s="54"/>
      <c r="E184" s="55"/>
      <c r="F184" s="56"/>
    </row>
    <row r="185" spans="2:6" ht="10.5" x14ac:dyDescent="0.2">
      <c r="B185" s="51" t="s">
        <v>354</v>
      </c>
      <c r="C185" s="53"/>
      <c r="D185" s="54"/>
      <c r="E185" s="55"/>
      <c r="F185" s="56"/>
    </row>
    <row r="186" spans="2:6" x14ac:dyDescent="0.2">
      <c r="B186" s="83" t="s">
        <v>349</v>
      </c>
      <c r="C186" s="83" t="s">
        <v>350</v>
      </c>
      <c r="D186" s="83" t="s">
        <v>351</v>
      </c>
      <c r="E186" s="83" t="s">
        <v>352</v>
      </c>
      <c r="F186" s="83" t="s">
        <v>353</v>
      </c>
    </row>
    <row r="187" spans="2:6" ht="10" customHeight="1" x14ac:dyDescent="0.2">
      <c r="B187" s="84"/>
      <c r="C187" s="84"/>
      <c r="D187" s="84"/>
      <c r="E187" s="84"/>
      <c r="F187" s="84"/>
    </row>
    <row r="188" spans="2:6" ht="10" customHeight="1" x14ac:dyDescent="0.2">
      <c r="B188" s="72">
        <v>326</v>
      </c>
      <c r="C188" s="72">
        <v>440</v>
      </c>
      <c r="D188" s="73">
        <v>4984.9863708000003</v>
      </c>
      <c r="E188" s="74">
        <v>6683.6537308999996</v>
      </c>
      <c r="F188" s="75">
        <v>-104.62627550000116</v>
      </c>
    </row>
    <row r="189" spans="2:6" x14ac:dyDescent="0.2">
      <c r="B189" s="57"/>
      <c r="C189" s="58"/>
      <c r="D189" s="58"/>
      <c r="E189" s="58"/>
      <c r="F189" s="10"/>
    </row>
    <row r="190" spans="2:6" ht="10.5" x14ac:dyDescent="0.2">
      <c r="B190" s="59" t="s">
        <v>372</v>
      </c>
      <c r="C190" s="60"/>
      <c r="D190" s="60"/>
      <c r="E190" s="61"/>
      <c r="F190" s="10"/>
    </row>
    <row r="191" spans="2:6" ht="10.5" x14ac:dyDescent="0.2">
      <c r="B191" s="62"/>
      <c r="C191" s="60"/>
      <c r="D191" s="60"/>
      <c r="E191" s="61"/>
      <c r="F191" s="10"/>
    </row>
    <row r="192" spans="2:6" ht="21" x14ac:dyDescent="0.2">
      <c r="B192" s="48" t="s">
        <v>343</v>
      </c>
      <c r="C192" s="49" t="s">
        <v>355</v>
      </c>
      <c r="D192" s="49" t="s">
        <v>356</v>
      </c>
      <c r="E192" s="49" t="s">
        <v>357</v>
      </c>
      <c r="F192" s="10"/>
    </row>
    <row r="193" spans="2:6" x14ac:dyDescent="0.2">
      <c r="B193" s="78" t="s">
        <v>75</v>
      </c>
      <c r="C193" s="79"/>
      <c r="D193" s="79"/>
      <c r="E193" s="80"/>
      <c r="F193" s="10"/>
    </row>
    <row r="194" spans="2:6" x14ac:dyDescent="0.2">
      <c r="B194" s="52" t="s">
        <v>358</v>
      </c>
      <c r="C194" s="51"/>
      <c r="D194" s="51"/>
      <c r="E194" s="51"/>
      <c r="F194" s="10"/>
    </row>
    <row r="195" spans="2:6" x14ac:dyDescent="0.2">
      <c r="B195" s="63"/>
      <c r="C195" s="64"/>
      <c r="D195" s="64"/>
      <c r="E195" s="63"/>
      <c r="F195" s="10"/>
    </row>
    <row r="196" spans="2:6" x14ac:dyDescent="0.2">
      <c r="B196" s="63" t="s">
        <v>373</v>
      </c>
      <c r="C196" s="64"/>
      <c r="D196" s="64"/>
      <c r="E196" s="63"/>
      <c r="F196" s="10"/>
    </row>
    <row r="197" spans="2:6" x14ac:dyDescent="0.2">
      <c r="B197" s="63"/>
      <c r="C197" s="64"/>
      <c r="D197" s="64"/>
      <c r="E197" s="63"/>
      <c r="F197" s="10"/>
    </row>
    <row r="198" spans="2:6" x14ac:dyDescent="0.2">
      <c r="B198" s="81" t="s">
        <v>359</v>
      </c>
      <c r="C198" s="81" t="s">
        <v>360</v>
      </c>
      <c r="D198" s="81" t="s">
        <v>361</v>
      </c>
      <c r="E198" s="63"/>
      <c r="F198" s="10"/>
    </row>
    <row r="199" spans="2:6" x14ac:dyDescent="0.2">
      <c r="B199" s="82"/>
      <c r="C199" s="82"/>
      <c r="D199" s="82"/>
      <c r="E199" s="63"/>
      <c r="F199" s="10"/>
    </row>
    <row r="200" spans="2:6" x14ac:dyDescent="0.2">
      <c r="B200" s="85" t="s">
        <v>75</v>
      </c>
      <c r="C200" s="85"/>
      <c r="D200" s="85"/>
      <c r="E200" s="58"/>
      <c r="F200" s="10"/>
    </row>
    <row r="201" spans="2:6" x14ac:dyDescent="0.2">
      <c r="B201" s="65"/>
      <c r="C201" s="65"/>
      <c r="D201" s="65"/>
      <c r="E201" s="58"/>
      <c r="F201" s="10"/>
    </row>
    <row r="202" spans="2:6" ht="10.5" x14ac:dyDescent="0.2">
      <c r="B202" s="59" t="s">
        <v>374</v>
      </c>
      <c r="C202" s="65"/>
      <c r="D202" s="65"/>
      <c r="E202" s="58"/>
      <c r="F202" s="10"/>
    </row>
    <row r="203" spans="2:6" ht="10" customHeight="1" x14ac:dyDescent="0.2">
      <c r="B203" s="65"/>
      <c r="C203" s="65"/>
      <c r="D203" s="65"/>
      <c r="E203" s="58"/>
      <c r="F203" s="10"/>
    </row>
    <row r="204" spans="2:6" ht="10" customHeight="1" x14ac:dyDescent="0.2">
      <c r="B204" s="49" t="s">
        <v>343</v>
      </c>
      <c r="C204" s="49" t="s">
        <v>362</v>
      </c>
      <c r="D204" s="49" t="s">
        <v>363</v>
      </c>
      <c r="E204" s="49" t="s">
        <v>364</v>
      </c>
      <c r="F204" s="49" t="s">
        <v>365</v>
      </c>
    </row>
    <row r="205" spans="2:6" x14ac:dyDescent="0.2">
      <c r="B205" s="86" t="s">
        <v>75</v>
      </c>
      <c r="C205" s="86"/>
      <c r="D205" s="86"/>
      <c r="E205" s="86"/>
      <c r="F205" s="86"/>
    </row>
    <row r="206" spans="2:6" x14ac:dyDescent="0.2">
      <c r="B206" s="66" t="s">
        <v>366</v>
      </c>
      <c r="C206" s="65"/>
      <c r="D206" s="65"/>
      <c r="E206" s="58"/>
      <c r="F206" s="10"/>
    </row>
    <row r="207" spans="2:6" x14ac:dyDescent="0.2">
      <c r="B207" s="65"/>
      <c r="C207" s="65"/>
      <c r="D207" s="65"/>
      <c r="E207" s="58"/>
      <c r="F207" s="10"/>
    </row>
    <row r="208" spans="2:6" x14ac:dyDescent="0.2">
      <c r="B208" s="63" t="s">
        <v>375</v>
      </c>
      <c r="C208" s="64"/>
      <c r="D208" s="64"/>
      <c r="E208" s="58"/>
      <c r="F208" s="10"/>
    </row>
    <row r="209" spans="2:6" x14ac:dyDescent="0.2">
      <c r="B209" s="63"/>
      <c r="C209" s="64"/>
      <c r="D209" s="64"/>
      <c r="E209" s="58"/>
      <c r="F209" s="10"/>
    </row>
    <row r="210" spans="2:6" x14ac:dyDescent="0.2">
      <c r="B210" s="81" t="s">
        <v>359</v>
      </c>
      <c r="C210" s="81" t="s">
        <v>360</v>
      </c>
      <c r="D210" s="81" t="s">
        <v>361</v>
      </c>
      <c r="E210" s="58"/>
      <c r="F210" s="10"/>
    </row>
    <row r="211" spans="2:6" x14ac:dyDescent="0.2">
      <c r="B211" s="82"/>
      <c r="C211" s="82"/>
      <c r="D211" s="82"/>
      <c r="E211" s="58"/>
      <c r="F211" s="10"/>
    </row>
    <row r="212" spans="2:6" x14ac:dyDescent="0.2">
      <c r="B212" s="85" t="s">
        <v>75</v>
      </c>
      <c r="C212" s="85"/>
      <c r="D212" s="85"/>
      <c r="E212" s="58"/>
      <c r="F212" s="10"/>
    </row>
    <row r="213" spans="2:6" x14ac:dyDescent="0.2">
      <c r="B213" s="41"/>
    </row>
    <row r="214" spans="2:6" x14ac:dyDescent="0.2">
      <c r="B214" s="41" t="s">
        <v>376</v>
      </c>
    </row>
    <row r="215" spans="2:6" ht="10" customHeight="1" x14ac:dyDescent="0.2">
      <c r="B215" s="44" t="s">
        <v>380</v>
      </c>
    </row>
    <row r="216" spans="2:6" ht="10" customHeight="1" x14ac:dyDescent="0.2">
      <c r="B216" s="41" t="s">
        <v>377</v>
      </c>
    </row>
    <row r="220" spans="2:6" ht="10.5" x14ac:dyDescent="0.25">
      <c r="B220" s="11" t="s">
        <v>81</v>
      </c>
    </row>
    <row r="237" spans="2:2" ht="10.5" x14ac:dyDescent="0.2">
      <c r="B237" s="39" t="s">
        <v>332</v>
      </c>
    </row>
    <row r="238" spans="2:2" ht="10.5" x14ac:dyDescent="0.25">
      <c r="B238" s="40" t="s">
        <v>333</v>
      </c>
    </row>
  </sheetData>
  <mergeCells count="24">
    <mergeCell ref="B205:F205"/>
    <mergeCell ref="B210:B211"/>
    <mergeCell ref="C210:C211"/>
    <mergeCell ref="D210:D211"/>
    <mergeCell ref="B212:D212"/>
    <mergeCell ref="B193:E193"/>
    <mergeCell ref="B198:B199"/>
    <mergeCell ref="C198:C199"/>
    <mergeCell ref="D198:D199"/>
    <mergeCell ref="B200:D200"/>
    <mergeCell ref="B176:F176"/>
    <mergeCell ref="B186:B187"/>
    <mergeCell ref="C186:C187"/>
    <mergeCell ref="D186:D187"/>
    <mergeCell ref="E186:E187"/>
    <mergeCell ref="F186:F187"/>
    <mergeCell ref="B181:F181"/>
    <mergeCell ref="B1:C1"/>
    <mergeCell ref="B170:F170"/>
    <mergeCell ref="B174:B175"/>
    <mergeCell ref="C174:C175"/>
    <mergeCell ref="D174:D175"/>
    <mergeCell ref="E174:E175"/>
    <mergeCell ref="F174:F175"/>
  </mergeCells>
  <conditionalFormatting sqref="G1:G3">
    <cfRule type="cellIs" dxfId="1" priority="3" stopIfTrue="1" operator="between">
      <formula>0.009</formula>
      <formula>-0.009</formula>
    </cfRule>
  </conditionalFormatting>
  <conditionalFormatting sqref="G5:G255">
    <cfRule type="cellIs" dxfId="0" priority="1" stopIfTrue="1" operator="between">
      <formula>0.009</formula>
      <formula>-0.009</formula>
    </cfRule>
  </conditionalFormatting>
  <hyperlinks>
    <hyperlink ref="A2" location="Index!A1" display="-" xr:uid="{6178945D-23B8-4CE4-8676-4171C05D8D3C}"/>
  </hyperlinks>
  <pageMargins left="0.7" right="0.7" top="0.75" bottom="0.75" header="0.3" footer="0.3"/>
  <pageSetup paperSize="9" scale="27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2026-10-08T14:21:04Z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