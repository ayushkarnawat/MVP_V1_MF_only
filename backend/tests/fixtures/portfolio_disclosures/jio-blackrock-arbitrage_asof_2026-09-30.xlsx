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24226"/>
  <xr:revisionPtr revIDLastSave="0" documentId="8_{F3913852-1D87-4091-95B2-EFAC727CD277}" xr6:coauthVersionLast="47" xr6:coauthVersionMax="47" xr10:uidLastSave="{00000000-0000-0000-0000-000000000000}"/>
  <bookViews>
    <workbookView xWindow="11700" yWindow="5280" windowWidth="7500" windowHeight="6000" xr2:uid="{7291B499-DD8C-4F12-BA28-9EE7F24AB421}"/>
  </bookViews>
  <sheets>
    <sheet name="JBARB" sheetId="18" r:id="rId1"/>
  </sheets>
  <definedNames>
    <definedName name="_xlnm.Print_Area" localSheetId="0">JBARB!$B$1:$I$562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8" i="18" l="1"/>
  <c r="F298" i="18"/>
  <c r="G140" i="18"/>
  <c r="G136" i="18"/>
  <c r="F136" i="18"/>
  <c r="G131" i="18"/>
  <c r="G132" i="18" s="1"/>
  <c r="F131" i="18"/>
  <c r="G124" i="18"/>
  <c r="G127" i="18" s="1"/>
  <c r="F124" i="18"/>
  <c r="F127" i="18" s="1"/>
  <c r="F141" i="18" l="1"/>
  <c r="F132" i="18"/>
  <c r="G141" i="18"/>
</calcChain>
</file>

<file path=xl/sharedStrings.xml><?xml version="1.0" encoding="utf-8"?>
<sst xmlns="http://schemas.openxmlformats.org/spreadsheetml/2006/main" count="1226" uniqueCount="514">
  <si>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</si>
  <si>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</si>
  <si>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</si>
  <si>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</si>
  <si>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</si>
  <si>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</si>
  <si>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September 30, 2026</t>
  </si>
  <si>
    <t>JioBlackRock Arbitrage Fund</t>
  </si>
  <si>
    <t>Equity &amp; Equity related</t>
  </si>
  <si>
    <t>(a) Listed / awaiting listing on Stock Exchanges</t>
  </si>
  <si>
    <t>Cement &amp; Cement Products</t>
  </si>
  <si>
    <t>Leisure Services</t>
  </si>
  <si>
    <t>Life Insurance Corporation Of India</t>
  </si>
  <si>
    <t>INE0J1Y01017</t>
  </si>
  <si>
    <t>Insurance</t>
  </si>
  <si>
    <t>Tata Steel Ltd</t>
  </si>
  <si>
    <t>INE081A01020</t>
  </si>
  <si>
    <t>Ferrous Metals</t>
  </si>
  <si>
    <t>Auto Components</t>
  </si>
  <si>
    <t>Axis Bank Ltd</t>
  </si>
  <si>
    <t>INE238A01034</t>
  </si>
  <si>
    <t>Banks</t>
  </si>
  <si>
    <t>Punjab National Bank</t>
  </si>
  <si>
    <t>INE160A01022</t>
  </si>
  <si>
    <t>Hindustan Petroleum Corporation Ltd</t>
  </si>
  <si>
    <t>INE094A01015</t>
  </si>
  <si>
    <t>Petroleum Products</t>
  </si>
  <si>
    <t>Indian Hotels Co Ltd</t>
  </si>
  <si>
    <t>INE053A01029</t>
  </si>
  <si>
    <t>Indian Oil Corporation Ltd</t>
  </si>
  <si>
    <t>INE242A01010</t>
  </si>
  <si>
    <t>IndusInd Bank Ltd</t>
  </si>
  <si>
    <t>INE095A01012</t>
  </si>
  <si>
    <t>Samvardhana Motherson International Ltd</t>
  </si>
  <si>
    <t>INE775A01035</t>
  </si>
  <si>
    <t>Canara Bank</t>
  </si>
  <si>
    <t>INE476A01022</t>
  </si>
  <si>
    <t>Bharat Heavy Electricals Ltd</t>
  </si>
  <si>
    <t>INE257A01026</t>
  </si>
  <si>
    <t>Electrical Equipment</t>
  </si>
  <si>
    <t>ICICI Bank Ltd</t>
  </si>
  <si>
    <t>INE090A01021</t>
  </si>
  <si>
    <t>UPL Ltd</t>
  </si>
  <si>
    <t>INE628A01036</t>
  </si>
  <si>
    <t>Fertilizers &amp; Agrochemicals</t>
  </si>
  <si>
    <t>Bajaj Auto Ltd</t>
  </si>
  <si>
    <t>INE917I01010</t>
  </si>
  <si>
    <t>Automobiles</t>
  </si>
  <si>
    <t>IT - Software</t>
  </si>
  <si>
    <t>Coal India Ltd</t>
  </si>
  <si>
    <t>INE522F01014</t>
  </si>
  <si>
    <t>Consumable Fuels</t>
  </si>
  <si>
    <t>Asian Paints Ltd</t>
  </si>
  <si>
    <t>INE021A01026</t>
  </si>
  <si>
    <t>Consumer Durables</t>
  </si>
  <si>
    <t>Cholamandalam Investment and Finance Co Ltd</t>
  </si>
  <si>
    <t>INE121A01024</t>
  </si>
  <si>
    <t>Finance</t>
  </si>
  <si>
    <t>Non - Ferrous Metals</t>
  </si>
  <si>
    <t>Tata Consumer Products Ltd</t>
  </si>
  <si>
    <t>INE192A01025</t>
  </si>
  <si>
    <t>Agricultural Food &amp; Other Products</t>
  </si>
  <si>
    <t>Hero MotoCorp Ltd</t>
  </si>
  <si>
    <t>INE158A01026</t>
  </si>
  <si>
    <t>BSE Ltd</t>
  </si>
  <si>
    <t>INE118H01025</t>
  </si>
  <si>
    <t>Capital Markets</t>
  </si>
  <si>
    <t>Divi's Laboratories Ltd</t>
  </si>
  <si>
    <t>INE361B01024</t>
  </si>
  <si>
    <t>Pharmaceuticals &amp; Biotechnology</t>
  </si>
  <si>
    <t>Marico Ltd</t>
  </si>
  <si>
    <t>INE196A01026</t>
  </si>
  <si>
    <t>Kalyan Jewellers India Ltd</t>
  </si>
  <si>
    <t>INE303R01014</t>
  </si>
  <si>
    <t>Healthcare Services</t>
  </si>
  <si>
    <t>Reliance Industries Ltd</t>
  </si>
  <si>
    <t>INE002A01018</t>
  </si>
  <si>
    <t>Bharti Airtel Ltd</t>
  </si>
  <si>
    <t>INE397D01024</t>
  </si>
  <si>
    <t>Telecom - Services</t>
  </si>
  <si>
    <t>NMDC Ltd</t>
  </si>
  <si>
    <t>INE584A01023</t>
  </si>
  <si>
    <t>Minerals &amp; Mining</t>
  </si>
  <si>
    <t>Ultratech Cement Ltd</t>
  </si>
  <si>
    <t>INE481G01011</t>
  </si>
  <si>
    <t>Bajaj Holdings &amp; Investment Ltd</t>
  </si>
  <si>
    <t>INE118A01012</t>
  </si>
  <si>
    <t>HDFC Bank Ltd</t>
  </si>
  <si>
    <t>INE040A01034</t>
  </si>
  <si>
    <t>Realty</t>
  </si>
  <si>
    <t>Varun Beverages Ltd</t>
  </si>
  <si>
    <t>INE200M01039</t>
  </si>
  <si>
    <t>Beverages</t>
  </si>
  <si>
    <t>Tata Motors Passenger Vehicles Ltd</t>
  </si>
  <si>
    <t>INE155A01022</t>
  </si>
  <si>
    <t>JSW Steel Ltd</t>
  </si>
  <si>
    <t>INE019A01038</t>
  </si>
  <si>
    <t>Sub Total</t>
  </si>
  <si>
    <t xml:space="preserve">(b) Unlisted </t>
  </si>
  <si>
    <t>NIL</t>
  </si>
  <si>
    <t>Total</t>
  </si>
  <si>
    <t>Nil</t>
  </si>
  <si>
    <t>Money Market Instruments</t>
  </si>
  <si>
    <t>TREPS</t>
  </si>
  <si>
    <t>Grand Total</t>
  </si>
  <si>
    <t>Margin on Derivatives</t>
  </si>
  <si>
    <t>Net Receivables / (Payables)</t>
  </si>
  <si>
    <t>Derivatives</t>
  </si>
  <si>
    <t>Long / Short</t>
  </si>
  <si>
    <t>Industry Classification</t>
  </si>
  <si>
    <t>Market/Fair Value (Rs. in Lakhs)</t>
  </si>
  <si>
    <t xml:space="preserve">% to Net Assets </t>
  </si>
  <si>
    <t>JSW STEEL LTD FUT 27-OCT-26</t>
  </si>
  <si>
    <t>Short</t>
  </si>
  <si>
    <t>TATA MOTORS PASS VEHICLES FUT 27-OCT-26</t>
  </si>
  <si>
    <t>VARUN BEVERAGES LTD FUT 27-OCT-26</t>
  </si>
  <si>
    <t>HDFC BANK LTD FUT 27-OCT-26</t>
  </si>
  <si>
    <t>BAJAJ HOLDINGS &amp; INVEST FUT 27-OCT-26</t>
  </si>
  <si>
    <t>ULTRA TECH CEMENT LTD FUT 27-OCT-26</t>
  </si>
  <si>
    <t>TATA STEEL LTD FUT 27-OCT-26</t>
  </si>
  <si>
    <t>NMDC LTD FUT 27-OCT-26</t>
  </si>
  <si>
    <t>BHARTI AIRTEL LTD FUT 27-OCT-26</t>
  </si>
  <si>
    <t>RELIANCE INDUSTRIES LTD FUT 27-OCT-26</t>
  </si>
  <si>
    <t>LIFE INSURANCE CORPORA FUT 27-OCT-26</t>
  </si>
  <si>
    <t>INDIAN HOTELS CO LTD FUT 27-OCT-26</t>
  </si>
  <si>
    <t>Industry Classification / Rating</t>
  </si>
  <si>
    <t>** Non- Traded Security</t>
  </si>
  <si>
    <t>Notes</t>
  </si>
  <si>
    <t xml:space="preserve">Scheme Risk-O-Meter </t>
  </si>
  <si>
    <t>Larsen &amp; Toubro Ltd</t>
  </si>
  <si>
    <t>INE018A01030</t>
  </si>
  <si>
    <t>Construction</t>
  </si>
  <si>
    <t>State Bank of India</t>
  </si>
  <si>
    <t>INE062A01020</t>
  </si>
  <si>
    <t>Infosys Ltd</t>
  </si>
  <si>
    <t>INE009A01021</t>
  </si>
  <si>
    <t>Kotak Mahindra Bank Ltd</t>
  </si>
  <si>
    <t>INE237A01036</t>
  </si>
  <si>
    <t>Mahindra &amp; Mahindra Ltd</t>
  </si>
  <si>
    <t>INE101A01026</t>
  </si>
  <si>
    <t>Bajaj Finance Ltd</t>
  </si>
  <si>
    <t>INE296A01032</t>
  </si>
  <si>
    <t>ITC Ltd</t>
  </si>
  <si>
    <t>INE154A01025</t>
  </si>
  <si>
    <t>Diversified FMCG</t>
  </si>
  <si>
    <t>Eternal Ltd</t>
  </si>
  <si>
    <t>INE758T01015</t>
  </si>
  <si>
    <t>Retailing</t>
  </si>
  <si>
    <t>Tata Consultancy Services Ltd</t>
  </si>
  <si>
    <t>INE467B01029</t>
  </si>
  <si>
    <t>Sun Pharmaceutical Industries Ltd</t>
  </si>
  <si>
    <t>INE044A01036</t>
  </si>
  <si>
    <t>Titan Co Ltd</t>
  </si>
  <si>
    <t>INE280A01028</t>
  </si>
  <si>
    <t>Hindustan Unilever Ltd</t>
  </si>
  <si>
    <t>INE030A01027</t>
  </si>
  <si>
    <t>Maruti Suzuki India Ltd</t>
  </si>
  <si>
    <t>INE585B01010</t>
  </si>
  <si>
    <t>NTPC Ltd</t>
  </si>
  <si>
    <t>INE733E01010</t>
  </si>
  <si>
    <t>Power</t>
  </si>
  <si>
    <t>Bharat Electronics Ltd</t>
  </si>
  <si>
    <t>INE263A01024</t>
  </si>
  <si>
    <t>Aerospace &amp; Defense</t>
  </si>
  <si>
    <t>Hindalco Industries Ltd</t>
  </si>
  <si>
    <t>INE038A01020</t>
  </si>
  <si>
    <t>HCL Technologies Ltd</t>
  </si>
  <si>
    <t>INE860A01027</t>
  </si>
  <si>
    <t>Power Grid Corporation of India Ltd</t>
  </si>
  <si>
    <t>INE752E01010</t>
  </si>
  <si>
    <t>Interglobe Aviation Ltd</t>
  </si>
  <si>
    <t>INE646L01027</t>
  </si>
  <si>
    <t>Transport Services</t>
  </si>
  <si>
    <t>Bajaj Finserv Ltd</t>
  </si>
  <si>
    <t>INE918I01026</t>
  </si>
  <si>
    <t>Adani Enterprises Ltd</t>
  </si>
  <si>
    <t>INE423A01024</t>
  </si>
  <si>
    <t>Metals &amp; Minerals Trading</t>
  </si>
  <si>
    <t>Tech Mahindra Ltd</t>
  </si>
  <si>
    <t>INE669C01036</t>
  </si>
  <si>
    <t>Oil &amp; Natural Gas Corporation Ltd</t>
  </si>
  <si>
    <t>INE213A01029</t>
  </si>
  <si>
    <t>Oil</t>
  </si>
  <si>
    <t>Jio Financial Services Ltd</t>
  </si>
  <si>
    <t>INE758E01017</t>
  </si>
  <si>
    <t>HDFC Life Insurance Co Ltd</t>
  </si>
  <si>
    <t>INE795G01014</t>
  </si>
  <si>
    <t>Lupin Ltd</t>
  </si>
  <si>
    <t>INE326A01037</t>
  </si>
  <si>
    <t>Yes Bank Ltd</t>
  </si>
  <si>
    <t>INE528G01035</t>
  </si>
  <si>
    <t>Radico Khaitan Ltd</t>
  </si>
  <si>
    <t>INE944F01028</t>
  </si>
  <si>
    <t>GAIL (India) Ltd</t>
  </si>
  <si>
    <t>INE129A01019</t>
  </si>
  <si>
    <t>Gas</t>
  </si>
  <si>
    <t>Power Finance Corporation Ltd</t>
  </si>
  <si>
    <t>INE134E01011</t>
  </si>
  <si>
    <t>Steel Authority of India Ltd</t>
  </si>
  <si>
    <t>INE114A01011</t>
  </si>
  <si>
    <t>Agricultural, Commercial &amp; Construction Vehicles</t>
  </si>
  <si>
    <t>Industrial Products</t>
  </si>
  <si>
    <t>HDFC Asset Management Co Ltd</t>
  </si>
  <si>
    <t>INE127D01025</t>
  </si>
  <si>
    <t>Aurobindo Pharma Ltd</t>
  </si>
  <si>
    <t>INE406A01037</t>
  </si>
  <si>
    <t>Hindustan Aeronautics Ltd</t>
  </si>
  <si>
    <t>INE066F01020</t>
  </si>
  <si>
    <t>Federal Bank Ltd</t>
  </si>
  <si>
    <t>INE171A01029</t>
  </si>
  <si>
    <t>IDFC First Bank Ltd</t>
  </si>
  <si>
    <t>INE092T01019</t>
  </si>
  <si>
    <t>Hitachi Energy India Ltd</t>
  </si>
  <si>
    <t>INE07Y701011</t>
  </si>
  <si>
    <t>Adani Power Ltd</t>
  </si>
  <si>
    <t>INE814H01029</t>
  </si>
  <si>
    <t>KEI Industries Ltd</t>
  </si>
  <si>
    <t>INE878B01027</t>
  </si>
  <si>
    <t>Coforge Ltd</t>
  </si>
  <si>
    <t>INE591G01025</t>
  </si>
  <si>
    <t>Ge Vernova T&amp;D India Ltd</t>
  </si>
  <si>
    <t>INE200A01026</t>
  </si>
  <si>
    <t>SRF Ltd</t>
  </si>
  <si>
    <t>INE647A01010</t>
  </si>
  <si>
    <t>Chemicals &amp; Petrochemicals</t>
  </si>
  <si>
    <t>Indus Towers Ltd</t>
  </si>
  <si>
    <t>INE121J01017</t>
  </si>
  <si>
    <t>Certificate of Deposit</t>
  </si>
  <si>
    <t>CRISIL A1+</t>
  </si>
  <si>
    <t>CARE A1+</t>
  </si>
  <si>
    <t>HDFC Bank Ltd (18-Jan-2027) **</t>
  </si>
  <si>
    <t>INE040A16KF4</t>
  </si>
  <si>
    <t>Torrent Pharmaceuticals Ltd</t>
  </si>
  <si>
    <t>INE685A01028</t>
  </si>
  <si>
    <t>Cummins India Ltd</t>
  </si>
  <si>
    <t>INE298A01020</t>
  </si>
  <si>
    <t>Tata Power Co Ltd</t>
  </si>
  <si>
    <t>INE245A01021</t>
  </si>
  <si>
    <t>DLF Ltd</t>
  </si>
  <si>
    <t>INE271C01023</t>
  </si>
  <si>
    <t>Bank of Baroda</t>
  </si>
  <si>
    <t>INE028A01039</t>
  </si>
  <si>
    <t>Vodafone Idea Ltd</t>
  </si>
  <si>
    <t>INE669E01016</t>
  </si>
  <si>
    <t>Personal Products</t>
  </si>
  <si>
    <t>Union Bank Of India</t>
  </si>
  <si>
    <t>INE692A01016</t>
  </si>
  <si>
    <t>Multi Commodity Exchange Of India Ltd</t>
  </si>
  <si>
    <t>INE745G01043</t>
  </si>
  <si>
    <t>AU Small Finance Bank Ltd</t>
  </si>
  <si>
    <t>INE949L01017</t>
  </si>
  <si>
    <t>Suzlon Energy Ltd</t>
  </si>
  <si>
    <t>INE040H01021</t>
  </si>
  <si>
    <t>Info Edge (India) Ltd</t>
  </si>
  <si>
    <t>INE663F01032</t>
  </si>
  <si>
    <t>Ashok Leyland Ltd</t>
  </si>
  <si>
    <t>INE208A01029</t>
  </si>
  <si>
    <t>Fortis Healthcare Ltd</t>
  </si>
  <si>
    <t>INE061F01013</t>
  </si>
  <si>
    <t>APL Apollo Tubes Ltd</t>
  </si>
  <si>
    <t>INE702C01027</t>
  </si>
  <si>
    <t>ICICI Lombard General Insurance Co Ltd</t>
  </si>
  <si>
    <t>INE765G01017</t>
  </si>
  <si>
    <t>Swiggy Ltd</t>
  </si>
  <si>
    <t>INE00H001014</t>
  </si>
  <si>
    <t>Phoenix Mills Ltd</t>
  </si>
  <si>
    <t>INE211B01039</t>
  </si>
  <si>
    <t>Aditya Birla Capital Ltd</t>
  </si>
  <si>
    <t>INE674K01013</t>
  </si>
  <si>
    <t>Alkem Laboratories Ltd</t>
  </si>
  <si>
    <t>INE540L01014</t>
  </si>
  <si>
    <t>National Aluminium Co Ltd</t>
  </si>
  <si>
    <t>INE139A01034</t>
  </si>
  <si>
    <t>JSW Energy Ltd</t>
  </si>
  <si>
    <t>INE121E01018</t>
  </si>
  <si>
    <t>Mphasis Ltd</t>
  </si>
  <si>
    <t>INE356A01018</t>
  </si>
  <si>
    <t>Biocon Ltd</t>
  </si>
  <si>
    <t>INE376G01013</t>
  </si>
  <si>
    <t>Tube Investments of India Ltd</t>
  </si>
  <si>
    <t>INE974X01010</t>
  </si>
  <si>
    <t>Oil India Ltd</t>
  </si>
  <si>
    <t>INE274J01014</t>
  </si>
  <si>
    <t>Voltas Ltd</t>
  </si>
  <si>
    <t>INE226A01021</t>
  </si>
  <si>
    <t>Colgate Palmolive (India) Ltd</t>
  </si>
  <si>
    <t>INE259A01022</t>
  </si>
  <si>
    <t>L&amp;T Finance Ltd</t>
  </si>
  <si>
    <t>INE498L01015</t>
  </si>
  <si>
    <t>Godrej Properties Ltd</t>
  </si>
  <si>
    <t>INE484J01027</t>
  </si>
  <si>
    <t>SBI Cards and Payment Services Ltd</t>
  </si>
  <si>
    <t>INE018E01016</t>
  </si>
  <si>
    <t>Astral Ltd</t>
  </si>
  <si>
    <t>INE006I01046</t>
  </si>
  <si>
    <t>LIC Housing Finance Ltd</t>
  </si>
  <si>
    <t>INE115A01026</t>
  </si>
  <si>
    <t>Container Corporation Of India Ltd</t>
  </si>
  <si>
    <t>INE111A01025</t>
  </si>
  <si>
    <t>IT - Services</t>
  </si>
  <si>
    <t>RBL Bank Ltd</t>
  </si>
  <si>
    <t>INE976G01028</t>
  </si>
  <si>
    <t>Delhivery Ltd</t>
  </si>
  <si>
    <t>INE148O01028</t>
  </si>
  <si>
    <t>Manappuram Finance Ltd</t>
  </si>
  <si>
    <t>INE522D01027</t>
  </si>
  <si>
    <t>Computer Age Management Services Ltd</t>
  </si>
  <si>
    <t>INE596I01020</t>
  </si>
  <si>
    <t>Crompton Greaves Consumer Electricals Ltd</t>
  </si>
  <si>
    <t>INE299U01018</t>
  </si>
  <si>
    <t>Sagility Ltd</t>
  </si>
  <si>
    <t>INE0W2G01015</t>
  </si>
  <si>
    <t>Indian Energy Exchange Ltd</t>
  </si>
  <si>
    <t>INE022Q01020</t>
  </si>
  <si>
    <t>PG Electroplast Ltd</t>
  </si>
  <si>
    <t>INE457L01029</t>
  </si>
  <si>
    <t>Inox Wind Ltd</t>
  </si>
  <si>
    <t>INE066P01011</t>
  </si>
  <si>
    <t>Canara Bank (28-Jan-2027)</t>
  </si>
  <si>
    <t>INE476A16G28</t>
  </si>
  <si>
    <t>Mutual Fund Units</t>
  </si>
  <si>
    <t>JioBlackRock Money Market Fund - Direct Plan - Growth Option</t>
  </si>
  <si>
    <t>INF22M001028</t>
  </si>
  <si>
    <t>JioBlackRock Liquid Fund - Direct Plan - Growth Option</t>
  </si>
  <si>
    <t>INF22M001010</t>
  </si>
  <si>
    <t>VOLTAS LTD FUT 27-OCT-26</t>
  </si>
  <si>
    <t>INOX WIND LTD FUT 27-OCT-26</t>
  </si>
  <si>
    <t>TUBE INVESTMENTS OF INDIA FUT 27-OCT-26</t>
  </si>
  <si>
    <t>COLGATE PALMOLIVE LTD FUT 27-OCT-26</t>
  </si>
  <si>
    <t>SAGILITY LTD FUT 23-NOV-26</t>
  </si>
  <si>
    <t>NMDC LTD FUT 23-NOV-26</t>
  </si>
  <si>
    <t>MARUTI SUZUKI INDIA LTD FUT 23-NOV-26</t>
  </si>
  <si>
    <t>ALKEM LABORATORIES LTD FUT 27-OCT-26</t>
  </si>
  <si>
    <t>YES BANK LTD FUT 23-NOV-26</t>
  </si>
  <si>
    <t>LARSEN AND TOUBRO LTD FUT 23-NOV-26</t>
  </si>
  <si>
    <t>ETERNAL LTD FUT 27-OCT-26</t>
  </si>
  <si>
    <t>ICICI LOMBARD GIC LTD FUT 27-OCT-26</t>
  </si>
  <si>
    <t>SAGILITY LTD FUT 27-OCT-26</t>
  </si>
  <si>
    <t>TATA POWER CO LTD FUT 23-NOV-26</t>
  </si>
  <si>
    <t>DLF LTD FUT 23-NOV-26</t>
  </si>
  <si>
    <t>LARSEN AND TOUBRO LTD FUT 27-OCT-26</t>
  </si>
  <si>
    <t>PHOENIX MILLS LTD FUT 27-OCT-26</t>
  </si>
  <si>
    <t>BANK OF BARODA FUT 23-NOV-26</t>
  </si>
  <si>
    <t>BAJAJ FINANCE LTD FUT 23-NOV-26</t>
  </si>
  <si>
    <t>SUZLON ENERGY LTD FUT 27-OCT-26</t>
  </si>
  <si>
    <t>HITACHI ENERGY INDIA LTD FUT 27-OCT-26</t>
  </si>
  <si>
    <t>TATA CONSUMER PRODUCTS FUT 27-OCT-26</t>
  </si>
  <si>
    <t>LIC HOUSING FIN LTD FUT 23-NOV-26</t>
  </si>
  <si>
    <t>BAJAJ AUTO LTD FUT 23-NOV-26</t>
  </si>
  <si>
    <t>TORRENT PHARMA LTD FUT 23-NOV-26</t>
  </si>
  <si>
    <t>INDIAN ENERGY EXCHANGE FUT 27-OCT-26</t>
  </si>
  <si>
    <t>OIL INDIA LTD FUT 27-OCT-26</t>
  </si>
  <si>
    <t>SAMVARDHANA MOTHER INTER FUT 27-OCT-26</t>
  </si>
  <si>
    <t>M&amp;M LTD FUT 23-NOV-26</t>
  </si>
  <si>
    <t>MPHASIS LTD FUT 27-OCT-26</t>
  </si>
  <si>
    <t>BAJAJ AUTO LTD FUT 27-OCT-26</t>
  </si>
  <si>
    <t>COFORGE LTD FUT 23-NOV-26</t>
  </si>
  <si>
    <t>RBL LTD FUT 27-OCT-26</t>
  </si>
  <si>
    <t>HDFC AMC LTD FUT 23-NOV-26</t>
  </si>
  <si>
    <t>BIOCON LTD FUT 27-OCT-26</t>
  </si>
  <si>
    <t>HDFC LIFE INSURANCE COLTD FUT 27-OCT-26</t>
  </si>
  <si>
    <t>ADANI POWER LTD FUT 23-NOV-26</t>
  </si>
  <si>
    <t>UPL LTD FUT 27-OCT-26</t>
  </si>
  <si>
    <t>FORTIS HEALTHCARE LTD  FUT 27-OCT-26</t>
  </si>
  <si>
    <t>INTERGLOBE AVIATION LTD FUT 27-OCT-26</t>
  </si>
  <si>
    <t>L&amp;T FINANCE LTD FUT 27-OCT-26</t>
  </si>
  <si>
    <t>CHOLAMANDAL INV&amp;FIN CO FUT 27-OCT-26</t>
  </si>
  <si>
    <t>GAIL INDIA LTD FUT 27-OCT-26</t>
  </si>
  <si>
    <t>AXIS BANK LTD FUT 23-NOV-26</t>
  </si>
  <si>
    <t>BAJAJ FINSERV LTD FUT 27-OCT-26</t>
  </si>
  <si>
    <t>GE VERNOVA T&amp;D IND LTD FUT 27-OCT-26</t>
  </si>
  <si>
    <t>STEEL AUTHOR OF IND LTD FUT 27-OCT-26</t>
  </si>
  <si>
    <t>INFO EDGE (INDIA) LTD FUT 27-OCT-26</t>
  </si>
  <si>
    <t>HERO MOTOCORP LTD FUT 27-OCT-26</t>
  </si>
  <si>
    <t>HPCL FUT 27-OCT-26</t>
  </si>
  <si>
    <t>STATE BANK OF INDIA FUT 23-NOV-26</t>
  </si>
  <si>
    <t>UNION BANK OF INDIA FUT 27-OCT-26</t>
  </si>
  <si>
    <t>BIOCON LTD FUT 23-NOV-26</t>
  </si>
  <si>
    <t>ASIAN PAINTS LTD FUT 27-OCT-26</t>
  </si>
  <si>
    <t>LIC HOUSING FIN LTD FUT 27-OCT-26</t>
  </si>
  <si>
    <t>VARUN BEVERAGES LTD FUT 23-NOV-26</t>
  </si>
  <si>
    <t>BHARAT ELECTRONICS LTD FUT 23-NOV-26</t>
  </si>
  <si>
    <t>COMPUTER AGE MGMT SER LTD FUT 27-OCT-26</t>
  </si>
  <si>
    <t>AU SMALL FINANCE BANK LTD FUT 27-OCT-26</t>
  </si>
  <si>
    <t>INDUS TOWERS LTD FUT 27-OCT-26</t>
  </si>
  <si>
    <t>TATA POWER CO LTD FUT 27-OCT-26</t>
  </si>
  <si>
    <t>MULTI COMMODITY EXC OF IND 23-NOV-26</t>
  </si>
  <si>
    <t>AUROBINDO PHARMA LTD FUT 27-OCT-26</t>
  </si>
  <si>
    <t>PUNJAB NATIONAL BANK FUT 27-OCT-26</t>
  </si>
  <si>
    <t>FEDERAL BANK LTD FUT 23-NOV-26</t>
  </si>
  <si>
    <t>SBI CARDS AND PAYMENT SER FUT 27-OCT-26</t>
  </si>
  <si>
    <t>BHARAT HEAVY ELECT LTD FUT 27-OCT-26</t>
  </si>
  <si>
    <t>VODAFONE IDEA LTD FUT 29-DEC-26</t>
  </si>
  <si>
    <t>HINDUSTAN UNILEVER LTD FUT 27-OCT-26</t>
  </si>
  <si>
    <t>INDIAN OIL CORP LTD FUT 27-OCT-26</t>
  </si>
  <si>
    <t>TECH MAHINDRA LTD FUT 23-NOV-26</t>
  </si>
  <si>
    <t>MARICO LTD FUT 27-OCT-26</t>
  </si>
  <si>
    <t>JIO FINANC SERVICES LTD FUT 27-OCT-26</t>
  </si>
  <si>
    <t>DELHIVERY LTD FUT 23-NOV-26</t>
  </si>
  <si>
    <t>PGC LTD FUT 27-OCT-26</t>
  </si>
  <si>
    <t>JSW ENERGY LTD FUT 27-OCT-26</t>
  </si>
  <si>
    <t>NTPC LTD FUT 27-OCT-26</t>
  </si>
  <si>
    <t>ADITYA BIRLA CAPITAL LTD FUT 27-OCT-26</t>
  </si>
  <si>
    <t>IDFC FIRST BANK LTD FUT 27-OCT-26</t>
  </si>
  <si>
    <t>RADICO KHAITAN LTD FUT 27-OCT-26</t>
  </si>
  <si>
    <t>TITAN CO LTD FUT 27-OCT-26</t>
  </si>
  <si>
    <t>ONGC LTD FUT 27-OCT-26</t>
  </si>
  <si>
    <t>HINDUSTAN AERONAUTICS LTD FUT 27-OCT-26</t>
  </si>
  <si>
    <t>HDFC BANK LTD FUT 23-NOV-26</t>
  </si>
  <si>
    <t>ASHOK LEYLAND LTD FUT 27-OCT-26</t>
  </si>
  <si>
    <t>MARUTI SUZUKI INDIA LTD FUT 27-OCT-26</t>
  </si>
  <si>
    <t>LUPIN LTD FUT 27-OCT-26</t>
  </si>
  <si>
    <t>KOTAK BANK LTD FUT 27-OCT-26</t>
  </si>
  <si>
    <t>TATA STEEL LTD FUT 23-NOV-26</t>
  </si>
  <si>
    <t>BHARAT ELECTRONICS LTD FUT 27-OCT-26</t>
  </si>
  <si>
    <t>NATIONAL ALUMINIUM CO LTD FUT 27-OCT-26</t>
  </si>
  <si>
    <t>TCS LTD FUT 27-OCT-26</t>
  </si>
  <si>
    <t>M&amp;M LTD FUT 27-OCT-26</t>
  </si>
  <si>
    <t>PG ELECTROPLAST LTD FUT 23-NOV-26</t>
  </si>
  <si>
    <t>DELHIVERY LTD FUT 27-OCT-26</t>
  </si>
  <si>
    <t>KALYAN JEWELLERS INDIA FUT 27-OCT-26</t>
  </si>
  <si>
    <t>SUN PHARMA IND LTD FUT 27-OCT-26</t>
  </si>
  <si>
    <t>SWIGGY LTD FUT 23-NOV-26</t>
  </si>
  <si>
    <t>APL APOLLO TUBES LTD FUT 27-OCT-26</t>
  </si>
  <si>
    <t>CONTAINER CORP OF IND LTD FUT 27-OCT-26</t>
  </si>
  <si>
    <t>BSE LTD FUT 27-OCT-26</t>
  </si>
  <si>
    <t>BAJAJ FINANCE LTD FUT 27-OCT-26</t>
  </si>
  <si>
    <t>SRF LTD FUT 27-OCT-26</t>
  </si>
  <si>
    <t>DIVI'S LABORATORIES LTD FUT 27-OCT-26</t>
  </si>
  <si>
    <t>HINDALCO INDUSTRIES LTD FUT 27-OCT-26</t>
  </si>
  <si>
    <t>ASTRAL LTD FUT 27-OCT-26</t>
  </si>
  <si>
    <t>IDFC FIRST BANK LTD FUT 23-NOV-26</t>
  </si>
  <si>
    <t>CANARA BANK FUT 23-NOV-26</t>
  </si>
  <si>
    <t>MULTI COMMODITY EXC OF IND 27-OCT-26</t>
  </si>
  <si>
    <t>LIFE INSURANCE CORPORA FUT 23-NOV-26</t>
  </si>
  <si>
    <t>COAL INDIA LTD FUT 27-OCT-26</t>
  </si>
  <si>
    <t>PG ELECTROPLAST LTD FUT 27-OCT-26</t>
  </si>
  <si>
    <t>ITC LTD FUT 27-OCT-26</t>
  </si>
  <si>
    <t>CROMPT GREA CON ELEC LTD FUT 23-NOV-26</t>
  </si>
  <si>
    <t>PFC LTD FUT 27-OCT-26</t>
  </si>
  <si>
    <t>MANAPPURAM FINANCE LTD FUT 27-OCT-26</t>
  </si>
  <si>
    <t>HCL TECHNOLOGIES LTD FUT 27-OCT-26</t>
  </si>
  <si>
    <t>TORRENT PHARMA LTD FUT 27-OCT-26</t>
  </si>
  <si>
    <t>INDUSIND BANK LTD FUT 27-OCT-26</t>
  </si>
  <si>
    <t>GODREJ PROPERTIES LTD FUT 27-OCT-26</t>
  </si>
  <si>
    <t>CUMMINS INDIA LTD FUT 27-OCT-26</t>
  </si>
  <si>
    <t>KEI INDUSTRIES LTD FUT 27-OCT-26</t>
  </si>
  <si>
    <t>INFOSYS LTD FUT 27-OCT-26</t>
  </si>
  <si>
    <t>SWIGGY LTD FUT 27-OCT-26</t>
  </si>
  <si>
    <t>ADANI POWER LTD FUT 27-OCT-26</t>
  </si>
  <si>
    <t>FEDERAL BANK LTD FUT 27-OCT-26</t>
  </si>
  <si>
    <t>CROMPT GREA CON ELEC LTD FUT 27-OCT-26</t>
  </si>
  <si>
    <t>ITC LTD FUT 23-NOV-26</t>
  </si>
  <si>
    <t>AXIS BANK LTD FUT 27-OCT-26</t>
  </si>
  <si>
    <t>BANK OF BARODA FUT 27-OCT-26</t>
  </si>
  <si>
    <t>ICICI BANK LTD FUT 23-NOV-26</t>
  </si>
  <si>
    <t>RELIANCE INDUSTRIES LTD FUT 23-NOV-26</t>
  </si>
  <si>
    <t>ADANI ENTERPRISES LTD FUT 27-OCT-26</t>
  </si>
  <si>
    <t>VODAFONE IDEA LTD FUT 23-NOV-26</t>
  </si>
  <si>
    <t>STATE BANK OF INDIA FUT 27-OCT-26</t>
  </si>
  <si>
    <t>YES BANK LTD FUT 27-OCT-26</t>
  </si>
  <si>
    <t>VODAFONE IDEA LTD FUT 27-OCT-26</t>
  </si>
  <si>
    <t>CANARA BANK FUT 27-OCT-26</t>
  </si>
  <si>
    <t>ICICI BANK LTD FUT 27-OCT-26</t>
  </si>
  <si>
    <t>Benchmark Risk-O-Meter</t>
  </si>
  <si>
    <t>Benchmark Name - Nifty 50 Arbitrage (TRI)</t>
  </si>
  <si>
    <t>-</t>
  </si>
  <si>
    <t>(1) There is no security which is in default beyond its maturity/ interest payment date.</t>
  </si>
  <si>
    <t>Plan/ Option</t>
  </si>
  <si>
    <t>As on September 30, 2026</t>
  </si>
  <si>
    <t>Direct Plan - Growth Option</t>
  </si>
  <si>
    <t>Regular Plan - Growth Option</t>
  </si>
  <si>
    <t>As on August 31, 2026</t>
  </si>
  <si>
    <t>(2) Aggregate value of illiquid equity shares of the fund amounts to Rs. Nil and their percentage to net asset value is Nil.</t>
  </si>
  <si>
    <t>(3) Plan/ Option wise per unit net asset value are as follows:</t>
  </si>
  <si>
    <t>Underlying</t>
  </si>
  <si>
    <t>Long/Short</t>
  </si>
  <si>
    <t>Futures Price When purchased</t>
  </si>
  <si>
    <t>Current price of the contract</t>
  </si>
  <si>
    <t>Margin maintained
in Rs. Lakhs</t>
  </si>
  <si>
    <t>Number of contracts bought</t>
  </si>
  <si>
    <t>Number of contracts Sold</t>
  </si>
  <si>
    <t>Gross Notional Value of contracts where futures were bought  in Rs. Lakhs</t>
  </si>
  <si>
    <t>Gross Notional Value of contracts where futures were  sold in Rs. Lakhs</t>
  </si>
  <si>
    <t>Net Profit/Loss value on all contracts in Rs. Lakhs</t>
  </si>
  <si>
    <t xml:space="preserve">     </t>
  </si>
  <si>
    <t>Number of Contracts</t>
  </si>
  <si>
    <t>Option Price when purchased</t>
  </si>
  <si>
    <t>Current Option Price</t>
  </si>
  <si>
    <t>Total percentage of existing assets hedged through put options: Nil</t>
  </si>
  <si>
    <t>Number of contracts entered</t>
  </si>
  <si>
    <t>Gross Notional Value of contracts in Rs. Lakhs</t>
  </si>
  <si>
    <t>Net profit/ (loss) on all contracts (premium paid treated as (loss))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</si>
  <si>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</si>
  <si>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</si>
  <si>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</si>
  <si>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</si>
  <si>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</si>
  <si>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(5) Exposure to Derivative Instruments as on September 30, 2026:</t>
  </si>
  <si>
    <t>For the Month ended September 30, 2026 following were the hedging transactions through futures which have been squared off/expired:</t>
  </si>
  <si>
    <t>b) Other than Hedging Positions through Futures as on September 30, 2026 is :</t>
  </si>
  <si>
    <t>For the Month ended September 30, 2026 following were the non-hedging transactions through futures which have been squared off/expired:</t>
  </si>
  <si>
    <t>c) Hedging positions through Put options as on September 30, 2026</t>
  </si>
  <si>
    <t>For the Month ended September 30, 2026, following details specified for hedging transactions through Put options which have already been exercised/ expired:</t>
  </si>
  <si>
    <t>d) Other than hedging positions through options as on September 30, 2026</t>
  </si>
  <si>
    <t>For the period ended September 30, 2026, following details specified for non-hedging transactions through options which have already been exercised/ expired:</t>
  </si>
  <si>
    <t>e) Hedging positions through Swaps as on September 30, 2026  - Nil</t>
  </si>
  <si>
    <t>(6) Total market value of investments in foreign securities/ American Depository Receipts/ Global Depository Receipts as at September 30, 2026 is Rs. Nil.</t>
  </si>
  <si>
    <t>(8) Repo transactions in corporate debt securities as on September 30, 2026 is Rs. Nil.</t>
  </si>
  <si>
    <t>(4) There was no distribution (of income and capital) during the Month ended September 30, 2026.</t>
  </si>
  <si>
    <t>Total exposure due to futures (non hedging positions) as a percentage of net assets: : Nil</t>
  </si>
  <si>
    <t xml:space="preserve"> a) Hedging Positions through Futures as on September 30, 2026:</t>
  </si>
  <si>
    <t>Total percentage of existing assets hedged through futures: -74.57%</t>
  </si>
  <si>
    <t>(7) During the period, the portfolio turnover ratio is 10.85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</si>
</sst>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0%"/>
    <numFmt numFmtId="166" formatCode="#,##0;\(#,##0.\)"/>
    <numFmt numFmtId="168" formatCode="0.0000"/>
    <numFmt numFmtId="169" formatCode="#,##0.0000_ ;\-#,##0.0000\ "/>
    <numFmt numFmtId="170" formatCode="_(* #,##0.000_);_(* \(#,##0.000\);_(* &quot;-&quot;??_);_(@_)"/>
    <numFmt numFmtId="171" formatCode="_ * #,##0.000_ ;_ * \-#,##0.000_ ;_ * &quot;-&quot;??_ ;_ @_ "/>
  </numFmts>
  <fonts count="15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164" fontId="11" fillId="0" borderId="0" applyFont="0" applyFill="0" applyBorder="0" applyAlignment="0" applyProtection="0"/>
  </cellStyleXfs>
  <cellXfs count="115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/>
    <xf numFmtId="0" fontId="5" fillId="2" borderId="0" xfId="0" applyFont="1" applyFill="1"/>
    <xf numFmtId="165" fontId="6" fillId="2" borderId="0" xfId="0" applyNumberFormat="1" applyFont="1" applyFill="1"/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 wrapText="1"/>
    </xf>
    <xf numFmtId="39" fontId="5" fillId="0" borderId="5" xfId="0" applyNumberFormat="1" applyFont="1" applyBorder="1" applyAlignment="1">
      <alignment horizontal="center" vertical="center" wrapText="1"/>
    </xf>
    <xf numFmtId="0" fontId="5" fillId="2" borderId="6" xfId="0" applyFont="1" applyFill="1" applyBorder="1"/>
    <xf numFmtId="0" fontId="6" fillId="2" borderId="6" xfId="0" applyFont="1" applyFill="1" applyBorder="1"/>
    <xf numFmtId="39" fontId="6" fillId="2" borderId="6" xfId="0" applyNumberFormat="1" applyFont="1" applyFill="1" applyBorder="1"/>
    <xf numFmtId="39" fontId="6" fillId="3" borderId="6" xfId="0" applyNumberFormat="1" applyFont="1" applyFill="1" applyBorder="1"/>
    <xf numFmtId="3" fontId="6" fillId="2" borderId="6" xfId="0" applyNumberFormat="1" applyFont="1" applyFill="1" applyBorder="1"/>
    <xf numFmtId="165" fontId="6" fillId="2" borderId="6" xfId="0" applyNumberFormat="1" applyFont="1" applyFill="1" applyBorder="1"/>
    <xf numFmtId="39" fontId="5" fillId="2" borderId="7" xfId="0" applyNumberFormat="1" applyFont="1" applyFill="1" applyBorder="1"/>
    <xf numFmtId="39" fontId="5" fillId="3" borderId="7" xfId="0" applyNumberFormat="1" applyFont="1" applyFill="1" applyBorder="1"/>
    <xf numFmtId="39" fontId="5" fillId="2" borderId="6" xfId="0" applyNumberFormat="1" applyFont="1" applyFill="1" applyBorder="1" applyAlignment="1">
      <alignment horizontal="right"/>
    </xf>
    <xf numFmtId="39" fontId="5" fillId="3" borderId="6" xfId="0" applyNumberFormat="1" applyFont="1" applyFill="1" applyBorder="1" applyAlignment="1">
      <alignment horizontal="right"/>
    </xf>
    <xf numFmtId="39" fontId="5" fillId="2" borderId="8" xfId="0" applyNumberFormat="1" applyFont="1" applyFill="1" applyBorder="1" applyAlignment="1">
      <alignment horizontal="right"/>
    </xf>
    <xf numFmtId="39" fontId="5" fillId="3" borderId="8" xfId="0" applyNumberFormat="1" applyFont="1" applyFill="1" applyBorder="1" applyAlignment="1">
      <alignment horizontal="right"/>
    </xf>
    <xf numFmtId="0" fontId="5" fillId="2" borderId="9" xfId="0" applyFont="1" applyFill="1" applyBorder="1"/>
    <xf numFmtId="39" fontId="5" fillId="2" borderId="9" xfId="0" applyNumberFormat="1" applyFont="1" applyFill="1" applyBorder="1"/>
    <xf numFmtId="39" fontId="5" fillId="3" borderId="9" xfId="0" applyNumberFormat="1" applyFont="1" applyFill="1" applyBorder="1"/>
    <xf numFmtId="39" fontId="5" fillId="2" borderId="8" xfId="0" applyNumberFormat="1" applyFont="1" applyFill="1" applyBorder="1"/>
    <xf numFmtId="39" fontId="5" fillId="3" borderId="8" xfId="0" applyNumberFormat="1" applyFont="1" applyFill="1" applyBorder="1"/>
    <xf numFmtId="0" fontId="5" fillId="2" borderId="10" xfId="0" applyFont="1" applyFill="1" applyBorder="1"/>
    <xf numFmtId="39" fontId="5" fillId="2" borderId="10" xfId="0" applyNumberFormat="1" applyFont="1" applyFill="1" applyBorder="1"/>
    <xf numFmtId="39" fontId="5" fillId="3" borderId="10" xfId="0" applyNumberFormat="1" applyFont="1" applyFill="1" applyBorder="1"/>
    <xf numFmtId="0" fontId="5" fillId="2" borderId="11" xfId="0" applyFont="1" applyFill="1" applyBorder="1"/>
    <xf numFmtId="0" fontId="5" fillId="2" borderId="7" xfId="0" applyFont="1" applyFill="1" applyBorder="1"/>
    <xf numFmtId="0" fontId="5" fillId="2" borderId="1" xfId="0" applyFont="1" applyFill="1" applyBorder="1"/>
    <xf numFmtId="39" fontId="5" fillId="2" borderId="1" xfId="0" applyNumberFormat="1" applyFont="1" applyFill="1" applyBorder="1"/>
    <xf numFmtId="39" fontId="5" fillId="3" borderId="1" xfId="0" applyNumberFormat="1" applyFont="1" applyFill="1" applyBorder="1"/>
    <xf numFmtId="0" fontId="6" fillId="2" borderId="1" xfId="0" applyFont="1" applyFill="1" applyBorder="1"/>
    <xf numFmtId="166" fontId="6" fillId="2" borderId="1" xfId="0" applyNumberFormat="1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0" fontId="10" fillId="2" borderId="5" xfId="0" applyFont="1" applyFill="1" applyBorder="1"/>
    <xf numFmtId="0" fontId="9" fillId="2" borderId="0" xfId="1" applyFill="1"/>
    <xf numFmtId="0" fontId="5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/>
    <xf numFmtId="0" fontId="6" fillId="2" borderId="0" xfId="0" applyFont="1" applyFill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0" borderId="10" xfId="0" applyFont="1" applyBorder="1" applyAlignment="1">
      <alignment horizontal="center" vertical="center" wrapText="1"/>
    </xf>
    <xf numFmtId="0" fontId="6" fillId="2" borderId="10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0" fontId="12" fillId="3" borderId="0" xfId="0" applyFont="1" applyFill="1"/>
    <xf numFmtId="0" fontId="12" fillId="3" borderId="0" xfId="0" applyFont="1" applyFill="1" applyAlignment="1">
      <alignment horizontal="left"/>
    </xf>
    <xf numFmtId="164" fontId="12" fillId="3" borderId="0" xfId="2" applyFont="1" applyFill="1" applyAlignment="1">
      <alignment horizontal="justify" vertical="center"/>
    </xf>
    <xf numFmtId="2" fontId="12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justify" vertical="center"/>
    </xf>
    <xf numFmtId="3" fontId="12" fillId="0" borderId="12" xfId="0" applyNumberFormat="1" applyFont="1" applyBorder="1" applyAlignment="1">
      <alignment horizontal="center" vertical="center"/>
    </xf>
    <xf numFmtId="4" fontId="12" fillId="0" borderId="12" xfId="0" applyNumberFormat="1" applyFont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6" fillId="3" borderId="0" xfId="0" applyFont="1" applyFill="1"/>
    <xf numFmtId="0" fontId="3" fillId="3" borderId="0" xfId="0" applyFont="1" applyFill="1" applyAlignment="1">
      <alignment vertical="top"/>
    </xf>
    <xf numFmtId="169" fontId="13" fillId="3" borderId="0" xfId="0" applyNumberFormat="1" applyFont="1" applyFill="1" applyAlignment="1">
      <alignment horizontal="center" vertical="top"/>
    </xf>
    <xf numFmtId="0" fontId="13" fillId="3" borderId="0" xfId="0" applyFont="1" applyFill="1" applyAlignment="1">
      <alignment vertical="top"/>
    </xf>
    <xf numFmtId="0" fontId="14" fillId="3" borderId="0" xfId="0" applyFont="1" applyFill="1" applyAlignment="1">
      <alignment vertical="top"/>
    </xf>
    <xf numFmtId="0" fontId="12" fillId="3" borderId="0" xfId="0" applyFont="1" applyFill="1" applyAlignment="1">
      <alignment vertical="top"/>
    </xf>
    <xf numFmtId="169" fontId="12" fillId="3" borderId="0" xfId="0" applyNumberFormat="1" applyFont="1" applyFill="1" applyAlignment="1">
      <alignment horizontal="center" vertical="top"/>
    </xf>
    <xf numFmtId="3" fontId="12" fillId="3" borderId="0" xfId="0" applyNumberFormat="1" applyFont="1" applyFill="1" applyAlignment="1">
      <alignment horizontal="center" vertical="center"/>
    </xf>
    <xf numFmtId="3" fontId="12" fillId="3" borderId="0" xfId="0" applyNumberFormat="1" applyFont="1" applyFill="1" applyAlignment="1">
      <alignment horizontal="left" vertical="center"/>
    </xf>
    <xf numFmtId="3" fontId="3" fillId="3" borderId="0" xfId="0" applyNumberFormat="1" applyFont="1" applyFill="1" applyAlignment="1">
      <alignment horizontal="left" vertical="center"/>
    </xf>
    <xf numFmtId="0" fontId="6" fillId="2" borderId="10" xfId="0" applyFont="1" applyFill="1" applyBorder="1" applyAlignment="1">
      <alignment horizontal="center" vertical="center" wrapText="1"/>
    </xf>
    <xf numFmtId="168" fontId="6" fillId="0" borderId="10" xfId="0" applyNumberFormat="1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center" vertical="center" wrapText="1"/>
    </xf>
    <xf numFmtId="164" fontId="12" fillId="0" borderId="13" xfId="2" applyFont="1" applyBorder="1" applyAlignment="1">
      <alignment horizontal="center" vertical="center" wrapText="1"/>
    </xf>
    <xf numFmtId="164" fontId="12" fillId="0" borderId="11" xfId="2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164" fontId="12" fillId="0" borderId="0" xfId="2" applyFont="1" applyBorder="1" applyAlignment="1">
      <alignment horizontal="center" vertical="center" wrapText="1"/>
    </xf>
    <xf numFmtId="0" fontId="12" fillId="0" borderId="0" xfId="0" applyFont="1" applyAlignment="1">
      <alignment horizontal="left" vertical="top"/>
    </xf>
    <xf numFmtId="170" fontId="12" fillId="0" borderId="11" xfId="0" applyNumberFormat="1" applyFont="1" applyBorder="1" applyAlignment="1">
      <alignment vertical="center"/>
    </xf>
    <xf numFmtId="164" fontId="12" fillId="0" borderId="11" xfId="2" applyFont="1" applyFill="1" applyBorder="1" applyAlignment="1">
      <alignment horizontal="center" vertical="center"/>
    </xf>
    <xf numFmtId="171" fontId="6" fillId="2" borderId="0" xfId="0" applyNumberFormat="1" applyFont="1" applyFill="1"/>
    <xf numFmtId="39" fontId="6" fillId="0" borderId="6" xfId="0" applyNumberFormat="1" applyFont="1" applyBorder="1"/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12" fillId="3" borderId="3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3" fontId="12" fillId="3" borderId="10" xfId="0" applyNumberFormat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164" fontId="12" fillId="0" borderId="8" xfId="2" applyFont="1" applyBorder="1" applyAlignment="1">
      <alignment horizontal="center" vertical="center" wrapText="1"/>
    </xf>
    <xf numFmtId="164" fontId="12" fillId="0" borderId="11" xfId="2" applyFont="1" applyBorder="1" applyAlignment="1">
      <alignment horizontal="center" vertical="center" wrapText="1"/>
    </xf>
    <xf numFmtId="164" fontId="12" fillId="0" borderId="6" xfId="2" applyFont="1" applyBorder="1" applyAlignment="1">
      <alignment horizontal="center" vertical="center" wrapText="1"/>
    </xf>
    <xf numFmtId="3" fontId="12" fillId="3" borderId="3" xfId="0" applyNumberFormat="1" applyFont="1" applyFill="1" applyBorder="1" applyAlignment="1">
      <alignment horizontal="center" vertical="center"/>
    </xf>
    <xf numFmtId="3" fontId="12" fillId="3" borderId="2" xfId="0" applyNumberFormat="1" applyFont="1" applyFill="1" applyBorder="1" applyAlignment="1">
      <alignment horizontal="center" vertical="center"/>
    </xf>
    <xf numFmtId="3" fontId="12" fillId="3" borderId="4" xfId="0" applyNumberFormat="1" applyFont="1" applyFill="1" applyBorder="1" applyAlignment="1">
      <alignment horizontal="center" vertical="center"/>
    </xf>
  </cellXfs>
  <cellStyles count="3">
    <cellStyle name="Comma" xfId="2" builtinId="3"/>
    <cellStyle name="Hyperlink" xfId="1" builtinId="8"/>
    <cellStyle name="Normal" xfId="0" builtinId="0"/>
  </cellStyles>
  <dxfs count="2">
    <dxf>
      <numFmt numFmtId="172" formatCode="&quot;0.00*&quot;"/>
    </dxf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1276350</xdr:colOff>
      <xdr:row>525</xdr:row>
      <xdr:rowOff>47625</xdr:rowOff>
    </xdr:from>
    <xdr:to>
      <xdr:col>2</xdr:col>
      <xdr:colOff>1081616</xdr:colOff>
      <xdr:row>541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0C5208-F61D-426B-A495-376CE66A3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0" y="69916675"/>
          <a:ext cx="4699000" cy="207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923925</xdr:colOff>
      <xdr:row>544</xdr:row>
      <xdr:rowOff>85725</xdr:rowOff>
    </xdr:from>
    <xdr:to>
      <xdr:col>2</xdr:col>
      <xdr:colOff>1145116</xdr:colOff>
      <xdr:row>561</xdr:row>
      <xdr:rowOff>82550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C9C5E2-BA83-45C1-BF1D-DC779F2C2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575" y="72380475"/>
          <a:ext cx="5114925" cy="215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9BDC-B90F-4849-9D3E-0687679E0B93}">
  <dimension ref="A1:I544"/>
  <sheetViews>
    <sheetView tabSelected="1" view="pageBreakPreview" zoomScale="85" zoomScaleNormal="100" zoomScaleSheetLayoutView="85" workbookViewId="0"/>
  </sheetViews>
  <sheetFormatPr defaultColWidth="9.08984375" defaultRowHeight="10" x14ac:dyDescent="0.2"/>
  <cols>
    <col min="1" max="1" width="7.1796875" style="6" customWidth="1"/>
    <col min="2" max="2" width="70" style="6" bestFit="1" customWidth="1"/>
    <col min="3" max="3" width="20.26953125" style="6" bestFit="1" customWidth="1"/>
    <col min="4" max="4" width="32.1796875" style="6" bestFit="1" customWidth="1"/>
    <col min="5" max="5" width="13.81640625" style="6" bestFit="1" customWidth="1"/>
    <col min="6" max="6" width="22.81640625" style="8" bestFit="1" customWidth="1"/>
    <col min="7" max="7" width="12.1796875" style="10" bestFit="1" customWidth="1"/>
    <col min="8" max="8" width="14.36328125" style="6" bestFit="1" customWidth="1"/>
    <col min="9" max="16384" width="9.08984375" style="6"/>
  </cols>
  <sheetData>
    <row r="1" spans="1:8" s="1" customFormat="1" ht="16.75" customHeight="1" x14ac:dyDescent="0.35">
      <c r="B1" s="98" t="s">
        <v>7</v>
      </c>
      <c r="C1" s="99"/>
      <c r="D1" s="9"/>
      <c r="F1" s="5"/>
      <c r="G1" s="10"/>
    </row>
    <row r="2" spans="1:8" s="1" customFormat="1" ht="14.5" x14ac:dyDescent="0.35">
      <c r="A2" s="47" t="s">
        <v>466</v>
      </c>
      <c r="F2" s="5"/>
      <c r="G2" s="10"/>
    </row>
    <row r="3" spans="1:8" s="1" customFormat="1" ht="11.5" x14ac:dyDescent="0.25">
      <c r="B3" s="7" t="s">
        <v>6</v>
      </c>
      <c r="C3" s="2"/>
      <c r="D3" s="3"/>
      <c r="E3" s="3"/>
      <c r="F3" s="4"/>
      <c r="G3" s="10"/>
    </row>
    <row r="4" spans="1:8" s="1" customFormat="1" ht="25.5" customHeight="1" x14ac:dyDescent="0.25">
      <c r="B4" s="13" t="s">
        <v>4</v>
      </c>
      <c r="C4" s="13" t="s">
        <v>5</v>
      </c>
      <c r="D4" s="14" t="s">
        <v>125</v>
      </c>
      <c r="E4" s="14" t="s">
        <v>0</v>
      </c>
      <c r="F4" s="15" t="s">
        <v>1</v>
      </c>
      <c r="G4" s="16" t="s">
        <v>2</v>
      </c>
      <c r="H4" s="46" t="s">
        <v>3</v>
      </c>
    </row>
    <row r="5" spans="1:8" ht="10.5" x14ac:dyDescent="0.25">
      <c r="B5" s="17" t="s">
        <v>8</v>
      </c>
      <c r="C5" s="18"/>
      <c r="D5" s="18"/>
      <c r="E5" s="18"/>
      <c r="F5" s="19"/>
      <c r="G5" s="20"/>
      <c r="H5" s="18"/>
    </row>
    <row r="6" spans="1:8" ht="10.5" x14ac:dyDescent="0.25">
      <c r="B6" s="17" t="s">
        <v>9</v>
      </c>
      <c r="C6" s="18"/>
      <c r="D6" s="18"/>
      <c r="E6" s="18"/>
      <c r="F6" s="19"/>
      <c r="G6" s="20"/>
      <c r="H6" s="18"/>
    </row>
    <row r="7" spans="1:8" x14ac:dyDescent="0.2">
      <c r="B7" s="18" t="s">
        <v>40</v>
      </c>
      <c r="C7" s="18" t="s">
        <v>41</v>
      </c>
      <c r="D7" s="18" t="s">
        <v>21</v>
      </c>
      <c r="E7" s="21">
        <v>301700</v>
      </c>
      <c r="F7" s="19">
        <v>3987.5689000000002</v>
      </c>
      <c r="G7" s="20">
        <v>7.1418140785608699</v>
      </c>
      <c r="H7" s="22"/>
    </row>
    <row r="8" spans="1:8" x14ac:dyDescent="0.2">
      <c r="B8" s="18" t="s">
        <v>87</v>
      </c>
      <c r="C8" s="18" t="s">
        <v>88</v>
      </c>
      <c r="D8" s="18" t="s">
        <v>21</v>
      </c>
      <c r="E8" s="21">
        <v>549250</v>
      </c>
      <c r="F8" s="19">
        <v>3892.5347499999998</v>
      </c>
      <c r="G8" s="20">
        <v>6.97160605270982</v>
      </c>
      <c r="H8" s="22"/>
    </row>
    <row r="9" spans="1:8" x14ac:dyDescent="0.2">
      <c r="B9" s="18" t="s">
        <v>75</v>
      </c>
      <c r="C9" s="18" t="s">
        <v>76</v>
      </c>
      <c r="D9" s="18" t="s">
        <v>26</v>
      </c>
      <c r="E9" s="21">
        <v>305000</v>
      </c>
      <c r="F9" s="19">
        <v>3620.35</v>
      </c>
      <c r="G9" s="20">
        <v>6.4841178291158403</v>
      </c>
      <c r="H9" s="22"/>
    </row>
    <row r="10" spans="1:8" x14ac:dyDescent="0.2">
      <c r="B10" s="18" t="s">
        <v>242</v>
      </c>
      <c r="C10" s="18" t="s">
        <v>243</v>
      </c>
      <c r="D10" s="18" t="s">
        <v>79</v>
      </c>
      <c r="E10" s="21">
        <v>22586100</v>
      </c>
      <c r="F10" s="19">
        <v>2924.89995</v>
      </c>
      <c r="G10" s="20">
        <v>5.23855315485382</v>
      </c>
      <c r="H10" s="22"/>
    </row>
    <row r="11" spans="1:8" x14ac:dyDescent="0.2">
      <c r="B11" s="18" t="s">
        <v>35</v>
      </c>
      <c r="C11" s="18" t="s">
        <v>36</v>
      </c>
      <c r="D11" s="18" t="s">
        <v>21</v>
      </c>
      <c r="E11" s="21">
        <v>2268000</v>
      </c>
      <c r="F11" s="19">
        <v>2708.8991999999998</v>
      </c>
      <c r="G11" s="20">
        <v>4.8516915767805999</v>
      </c>
      <c r="H11" s="22"/>
    </row>
    <row r="12" spans="1:8" x14ac:dyDescent="0.2">
      <c r="B12" s="18" t="s">
        <v>12</v>
      </c>
      <c r="C12" s="18" t="s">
        <v>13</v>
      </c>
      <c r="D12" s="18" t="s">
        <v>14</v>
      </c>
      <c r="E12" s="21">
        <v>525000</v>
      </c>
      <c r="F12" s="19">
        <v>2074.8000000000002</v>
      </c>
      <c r="G12" s="20">
        <v>3.7160074776885001</v>
      </c>
      <c r="H12" s="22"/>
    </row>
    <row r="13" spans="1:8" x14ac:dyDescent="0.2">
      <c r="B13" s="18" t="s">
        <v>189</v>
      </c>
      <c r="C13" s="18" t="s">
        <v>190</v>
      </c>
      <c r="D13" s="18" t="s">
        <v>21</v>
      </c>
      <c r="E13" s="21">
        <v>6437700</v>
      </c>
      <c r="F13" s="19">
        <v>1348.6981499999999</v>
      </c>
      <c r="G13" s="20">
        <v>2.4155448286797001</v>
      </c>
      <c r="H13" s="22"/>
    </row>
    <row r="14" spans="1:8" x14ac:dyDescent="0.2">
      <c r="B14" s="18" t="s">
        <v>132</v>
      </c>
      <c r="C14" s="18" t="s">
        <v>133</v>
      </c>
      <c r="D14" s="18" t="s">
        <v>21</v>
      </c>
      <c r="E14" s="21">
        <v>124500</v>
      </c>
      <c r="F14" s="19">
        <v>1194.5775000000001</v>
      </c>
      <c r="G14" s="20">
        <v>2.1395117229026601</v>
      </c>
      <c r="H14" s="22"/>
    </row>
    <row r="15" spans="1:8" x14ac:dyDescent="0.2">
      <c r="B15" s="18" t="s">
        <v>15</v>
      </c>
      <c r="C15" s="18" t="s">
        <v>16</v>
      </c>
      <c r="D15" s="18" t="s">
        <v>17</v>
      </c>
      <c r="E15" s="21">
        <v>528000</v>
      </c>
      <c r="F15" s="19">
        <v>973.10400000000004</v>
      </c>
      <c r="G15" s="20">
        <v>1.74284834228291</v>
      </c>
      <c r="H15" s="22"/>
    </row>
    <row r="16" spans="1:8" x14ac:dyDescent="0.2">
      <c r="B16" s="18" t="s">
        <v>308</v>
      </c>
      <c r="C16" s="18" t="s">
        <v>309</v>
      </c>
      <c r="D16" s="18" t="s">
        <v>54</v>
      </c>
      <c r="E16" s="21">
        <v>447200</v>
      </c>
      <c r="F16" s="19">
        <v>933.17223999999999</v>
      </c>
      <c r="G16" s="20">
        <v>1.6713297772369999</v>
      </c>
      <c r="H16" s="22"/>
    </row>
    <row r="17" spans="2:8" x14ac:dyDescent="0.2">
      <c r="B17" s="18" t="s">
        <v>142</v>
      </c>
      <c r="C17" s="18" t="s">
        <v>143</v>
      </c>
      <c r="D17" s="18" t="s">
        <v>144</v>
      </c>
      <c r="E17" s="21">
        <v>345000</v>
      </c>
      <c r="F17" s="19">
        <v>906.48749999999995</v>
      </c>
      <c r="G17" s="20">
        <v>1.6235368847267899</v>
      </c>
      <c r="H17" s="22"/>
    </row>
    <row r="18" spans="2:8" x14ac:dyDescent="0.2">
      <c r="B18" s="18" t="s">
        <v>175</v>
      </c>
      <c r="C18" s="18" t="s">
        <v>176</v>
      </c>
      <c r="D18" s="18" t="s">
        <v>177</v>
      </c>
      <c r="E18" s="21">
        <v>30282</v>
      </c>
      <c r="F18" s="19">
        <v>879.20758799999999</v>
      </c>
      <c r="G18" s="20">
        <v>1.57467802749589</v>
      </c>
      <c r="H18" s="22"/>
    </row>
    <row r="19" spans="2:8" x14ac:dyDescent="0.2">
      <c r="B19" s="18" t="s">
        <v>19</v>
      </c>
      <c r="C19" s="18" t="s">
        <v>20</v>
      </c>
      <c r="D19" s="18" t="s">
        <v>21</v>
      </c>
      <c r="E19" s="21">
        <v>55625</v>
      </c>
      <c r="F19" s="19">
        <v>681.96249999999998</v>
      </c>
      <c r="G19" s="20">
        <v>1.2214082077805799</v>
      </c>
      <c r="H19" s="22"/>
    </row>
    <row r="20" spans="2:8" x14ac:dyDescent="0.2">
      <c r="B20" s="18" t="s">
        <v>240</v>
      </c>
      <c r="C20" s="18" t="s">
        <v>241</v>
      </c>
      <c r="D20" s="18" t="s">
        <v>21</v>
      </c>
      <c r="E20" s="21">
        <v>295425</v>
      </c>
      <c r="F20" s="19">
        <v>681.10233749999998</v>
      </c>
      <c r="G20" s="20">
        <v>1.21986763987908</v>
      </c>
      <c r="H20" s="22"/>
    </row>
    <row r="21" spans="2:8" x14ac:dyDescent="0.2">
      <c r="B21" s="18" t="s">
        <v>263</v>
      </c>
      <c r="C21" s="18" t="s">
        <v>264</v>
      </c>
      <c r="D21" s="18" t="s">
        <v>147</v>
      </c>
      <c r="E21" s="21">
        <v>264625</v>
      </c>
      <c r="F21" s="19">
        <v>661.82712500000002</v>
      </c>
      <c r="G21" s="20">
        <v>1.1853453563895699</v>
      </c>
      <c r="H21" s="22"/>
    </row>
    <row r="22" spans="2:8" x14ac:dyDescent="0.2">
      <c r="B22" s="18" t="s">
        <v>208</v>
      </c>
      <c r="C22" s="18" t="s">
        <v>209</v>
      </c>
      <c r="D22" s="18" t="s">
        <v>21</v>
      </c>
      <c r="E22" s="21">
        <v>192500</v>
      </c>
      <c r="F22" s="19">
        <v>610.995</v>
      </c>
      <c r="G22" s="20">
        <v>1.09430402392051</v>
      </c>
      <c r="H22" s="22"/>
    </row>
    <row r="23" spans="2:8" x14ac:dyDescent="0.2">
      <c r="B23" s="18" t="s">
        <v>214</v>
      </c>
      <c r="C23" s="18" t="s">
        <v>215</v>
      </c>
      <c r="D23" s="18" t="s">
        <v>160</v>
      </c>
      <c r="E23" s="21">
        <v>273350</v>
      </c>
      <c r="F23" s="19">
        <v>557.63400000000001</v>
      </c>
      <c r="G23" s="20">
        <v>0.99873342674636001</v>
      </c>
      <c r="H23" s="22"/>
    </row>
    <row r="24" spans="2:8" x14ac:dyDescent="0.2">
      <c r="B24" s="18" t="s">
        <v>80</v>
      </c>
      <c r="C24" s="18" t="s">
        <v>81</v>
      </c>
      <c r="D24" s="18" t="s">
        <v>82</v>
      </c>
      <c r="E24" s="21">
        <v>681750</v>
      </c>
      <c r="F24" s="19">
        <v>521.81145000000004</v>
      </c>
      <c r="G24" s="20">
        <v>0.93457453737395302</v>
      </c>
      <c r="H24" s="22"/>
    </row>
    <row r="25" spans="2:8" x14ac:dyDescent="0.2">
      <c r="B25" s="18" t="s">
        <v>90</v>
      </c>
      <c r="C25" s="18" t="s">
        <v>91</v>
      </c>
      <c r="D25" s="18" t="s">
        <v>92</v>
      </c>
      <c r="E25" s="21">
        <v>119850</v>
      </c>
      <c r="F25" s="19">
        <v>517.75199999999995</v>
      </c>
      <c r="G25" s="20">
        <v>0.927303982836021</v>
      </c>
      <c r="H25" s="22"/>
    </row>
    <row r="26" spans="2:8" x14ac:dyDescent="0.2">
      <c r="B26" s="18" t="s">
        <v>134</v>
      </c>
      <c r="C26" s="18" t="s">
        <v>135</v>
      </c>
      <c r="D26" s="18" t="s">
        <v>48</v>
      </c>
      <c r="E26" s="21">
        <v>48800</v>
      </c>
      <c r="F26" s="19">
        <v>485.12079999999997</v>
      </c>
      <c r="G26" s="20">
        <v>0.86886086388192896</v>
      </c>
      <c r="H26" s="22"/>
    </row>
    <row r="27" spans="2:8" x14ac:dyDescent="0.2">
      <c r="B27" s="18" t="s">
        <v>314</v>
      </c>
      <c r="C27" s="18" t="s">
        <v>315</v>
      </c>
      <c r="D27" s="18" t="s">
        <v>54</v>
      </c>
      <c r="E27" s="21">
        <v>93100</v>
      </c>
      <c r="F27" s="19">
        <v>459.40195</v>
      </c>
      <c r="G27" s="20">
        <v>0.82279789929857206</v>
      </c>
      <c r="H27" s="22"/>
    </row>
    <row r="28" spans="2:8" x14ac:dyDescent="0.2">
      <c r="B28" s="18" t="s">
        <v>216</v>
      </c>
      <c r="C28" s="18" t="s">
        <v>217</v>
      </c>
      <c r="D28" s="18" t="s">
        <v>201</v>
      </c>
      <c r="E28" s="21">
        <v>9625</v>
      </c>
      <c r="F28" s="19">
        <v>428.79374999999999</v>
      </c>
      <c r="G28" s="20">
        <v>0.76797801300659996</v>
      </c>
      <c r="H28" s="22"/>
    </row>
    <row r="29" spans="2:8" x14ac:dyDescent="0.2">
      <c r="B29" s="18" t="s">
        <v>232</v>
      </c>
      <c r="C29" s="18" t="s">
        <v>233</v>
      </c>
      <c r="D29" s="18" t="s">
        <v>69</v>
      </c>
      <c r="E29" s="21">
        <v>8375</v>
      </c>
      <c r="F29" s="19">
        <v>402</v>
      </c>
      <c r="G29" s="20">
        <v>0.71998988144918896</v>
      </c>
      <c r="H29" s="22"/>
    </row>
    <row r="30" spans="2:8" x14ac:dyDescent="0.2">
      <c r="B30" s="18" t="s">
        <v>234</v>
      </c>
      <c r="C30" s="18" t="s">
        <v>235</v>
      </c>
      <c r="D30" s="18" t="s">
        <v>201</v>
      </c>
      <c r="E30" s="21">
        <v>8400</v>
      </c>
      <c r="F30" s="19">
        <v>399.84</v>
      </c>
      <c r="G30" s="20">
        <v>0.71612127910110301</v>
      </c>
      <c r="H30" s="22"/>
    </row>
    <row r="31" spans="2:8" x14ac:dyDescent="0.2">
      <c r="B31" s="18" t="s">
        <v>289</v>
      </c>
      <c r="C31" s="18" t="s">
        <v>290</v>
      </c>
      <c r="D31" s="18" t="s">
        <v>89</v>
      </c>
      <c r="E31" s="21">
        <v>24050</v>
      </c>
      <c r="F31" s="19">
        <v>391.65424999999999</v>
      </c>
      <c r="G31" s="20">
        <v>0.70146044036460398</v>
      </c>
      <c r="H31" s="22"/>
    </row>
    <row r="32" spans="2:8" x14ac:dyDescent="0.2">
      <c r="B32" s="18" t="s">
        <v>31</v>
      </c>
      <c r="C32" s="18" t="s">
        <v>32</v>
      </c>
      <c r="D32" s="18" t="s">
        <v>21</v>
      </c>
      <c r="E32" s="21">
        <v>43400</v>
      </c>
      <c r="F32" s="19">
        <v>391.20760000000001</v>
      </c>
      <c r="G32" s="20">
        <v>0.70066048145776505</v>
      </c>
      <c r="H32" s="22"/>
    </row>
    <row r="33" spans="2:8" x14ac:dyDescent="0.2">
      <c r="B33" s="18" t="s">
        <v>166</v>
      </c>
      <c r="C33" s="18" t="s">
        <v>167</v>
      </c>
      <c r="D33" s="18" t="s">
        <v>48</v>
      </c>
      <c r="E33" s="21">
        <v>30000</v>
      </c>
      <c r="F33" s="19">
        <v>369</v>
      </c>
      <c r="G33" s="20">
        <v>0.66088623446455397</v>
      </c>
      <c r="H33" s="22"/>
    </row>
    <row r="34" spans="2:8" x14ac:dyDescent="0.2">
      <c r="B34" s="18" t="s">
        <v>304</v>
      </c>
      <c r="C34" s="18" t="s">
        <v>305</v>
      </c>
      <c r="D34" s="18" t="s">
        <v>57</v>
      </c>
      <c r="E34" s="21">
        <v>114000</v>
      </c>
      <c r="F34" s="19">
        <v>360.06900000000002</v>
      </c>
      <c r="G34" s="20">
        <v>0.64489063836698501</v>
      </c>
      <c r="H34" s="22"/>
    </row>
    <row r="35" spans="2:8" x14ac:dyDescent="0.2">
      <c r="B35" s="18" t="s">
        <v>196</v>
      </c>
      <c r="C35" s="18" t="s">
        <v>197</v>
      </c>
      <c r="D35" s="18" t="s">
        <v>57</v>
      </c>
      <c r="E35" s="21">
        <v>109200</v>
      </c>
      <c r="F35" s="19">
        <v>355.44600000000003</v>
      </c>
      <c r="G35" s="20">
        <v>0.63661075473031903</v>
      </c>
      <c r="H35" s="22"/>
    </row>
    <row r="36" spans="2:8" x14ac:dyDescent="0.2">
      <c r="B36" s="18" t="s">
        <v>210</v>
      </c>
      <c r="C36" s="18" t="s">
        <v>211</v>
      </c>
      <c r="D36" s="18" t="s">
        <v>21</v>
      </c>
      <c r="E36" s="21">
        <v>426650</v>
      </c>
      <c r="F36" s="19">
        <v>347.46375999999998</v>
      </c>
      <c r="G36" s="20">
        <v>0.62231440639375402</v>
      </c>
      <c r="H36" s="22"/>
    </row>
    <row r="37" spans="2:8" x14ac:dyDescent="0.2">
      <c r="B37" s="18" t="s">
        <v>247</v>
      </c>
      <c r="C37" s="18" t="s">
        <v>248</v>
      </c>
      <c r="D37" s="18" t="s">
        <v>66</v>
      </c>
      <c r="E37" s="21">
        <v>10125</v>
      </c>
      <c r="F37" s="19">
        <v>334.16550000000001</v>
      </c>
      <c r="G37" s="20">
        <v>0.59849696201345504</v>
      </c>
      <c r="H37" s="22"/>
    </row>
    <row r="38" spans="2:8" x14ac:dyDescent="0.2">
      <c r="B38" s="18" t="s">
        <v>77</v>
      </c>
      <c r="C38" s="18" t="s">
        <v>78</v>
      </c>
      <c r="D38" s="18" t="s">
        <v>79</v>
      </c>
      <c r="E38" s="21">
        <v>17100</v>
      </c>
      <c r="F38" s="19">
        <v>300.447</v>
      </c>
      <c r="G38" s="20">
        <v>0.53810646744220003</v>
      </c>
      <c r="H38" s="22"/>
    </row>
    <row r="39" spans="2:8" x14ac:dyDescent="0.2">
      <c r="B39" s="18" t="s">
        <v>49</v>
      </c>
      <c r="C39" s="18" t="s">
        <v>50</v>
      </c>
      <c r="D39" s="18" t="s">
        <v>51</v>
      </c>
      <c r="E39" s="21">
        <v>67500</v>
      </c>
      <c r="F39" s="19">
        <v>286.875</v>
      </c>
      <c r="G39" s="20">
        <v>0.51379874935506498</v>
      </c>
      <c r="H39" s="22"/>
    </row>
    <row r="40" spans="2:8" x14ac:dyDescent="0.2">
      <c r="B40" s="18" t="s">
        <v>302</v>
      </c>
      <c r="C40" s="18" t="s">
        <v>303</v>
      </c>
      <c r="D40" s="18" t="s">
        <v>172</v>
      </c>
      <c r="E40" s="21">
        <v>60175</v>
      </c>
      <c r="F40" s="19">
        <v>246.53697500000001</v>
      </c>
      <c r="G40" s="20">
        <v>0.44155255572908297</v>
      </c>
      <c r="H40" s="22"/>
    </row>
    <row r="41" spans="2:8" x14ac:dyDescent="0.2">
      <c r="B41" s="18" t="s">
        <v>293</v>
      </c>
      <c r="C41" s="18" t="s">
        <v>294</v>
      </c>
      <c r="D41" s="18" t="s">
        <v>201</v>
      </c>
      <c r="E41" s="21">
        <v>17425</v>
      </c>
      <c r="F41" s="19">
        <v>238.79220000000001</v>
      </c>
      <c r="G41" s="20">
        <v>0.427681511863162</v>
      </c>
      <c r="H41" s="22"/>
    </row>
    <row r="42" spans="2:8" x14ac:dyDescent="0.2">
      <c r="B42" s="18" t="s">
        <v>164</v>
      </c>
      <c r="C42" s="18" t="s">
        <v>165</v>
      </c>
      <c r="D42" s="18" t="s">
        <v>58</v>
      </c>
      <c r="E42" s="21">
        <v>24500</v>
      </c>
      <c r="F42" s="19">
        <v>230.74100000000001</v>
      </c>
      <c r="G42" s="20">
        <v>0.41326165481459498</v>
      </c>
      <c r="H42" s="22"/>
    </row>
    <row r="43" spans="2:8" x14ac:dyDescent="0.2">
      <c r="B43" s="18" t="s">
        <v>140</v>
      </c>
      <c r="C43" s="18" t="s">
        <v>141</v>
      </c>
      <c r="D43" s="18" t="s">
        <v>57</v>
      </c>
      <c r="E43" s="21">
        <v>23250</v>
      </c>
      <c r="F43" s="19">
        <v>223.06049999999999</v>
      </c>
      <c r="G43" s="20">
        <v>0.39950572873382301</v>
      </c>
      <c r="H43" s="22"/>
    </row>
    <row r="44" spans="2:8" x14ac:dyDescent="0.2">
      <c r="B44" s="18" t="s">
        <v>67</v>
      </c>
      <c r="C44" s="18" t="s">
        <v>68</v>
      </c>
      <c r="D44" s="18" t="s">
        <v>69</v>
      </c>
      <c r="E44" s="21">
        <v>2400</v>
      </c>
      <c r="F44" s="19">
        <v>222.99600000000001</v>
      </c>
      <c r="G44" s="20">
        <v>0.399390207969262</v>
      </c>
      <c r="H44" s="22"/>
    </row>
    <row r="45" spans="2:8" x14ac:dyDescent="0.2">
      <c r="B45" s="18" t="s">
        <v>222</v>
      </c>
      <c r="C45" s="18" t="s">
        <v>223</v>
      </c>
      <c r="D45" s="18" t="s">
        <v>224</v>
      </c>
      <c r="E45" s="21">
        <v>9000</v>
      </c>
      <c r="F45" s="19">
        <v>222.52500000000001</v>
      </c>
      <c r="G45" s="20">
        <v>0.39854663773502702</v>
      </c>
      <c r="H45" s="22"/>
    </row>
    <row r="46" spans="2:8" x14ac:dyDescent="0.2">
      <c r="B46" s="18" t="s">
        <v>161</v>
      </c>
      <c r="C46" s="18" t="s">
        <v>162</v>
      </c>
      <c r="D46" s="18" t="s">
        <v>163</v>
      </c>
      <c r="E46" s="21">
        <v>52725</v>
      </c>
      <c r="F46" s="19">
        <v>204.73117500000001</v>
      </c>
      <c r="G46" s="20">
        <v>0.36667754830150001</v>
      </c>
      <c r="H46" s="22"/>
    </row>
    <row r="47" spans="2:8" x14ac:dyDescent="0.2">
      <c r="B47" s="18" t="s">
        <v>64</v>
      </c>
      <c r="C47" s="18" t="s">
        <v>65</v>
      </c>
      <c r="D47" s="18" t="s">
        <v>66</v>
      </c>
      <c r="E47" s="21">
        <v>6200</v>
      </c>
      <c r="F47" s="19">
        <v>191.70400000000001</v>
      </c>
      <c r="G47" s="20">
        <v>0.34334562247098299</v>
      </c>
      <c r="H47" s="22"/>
    </row>
    <row r="48" spans="2:8" x14ac:dyDescent="0.2">
      <c r="B48" s="18" t="s">
        <v>297</v>
      </c>
      <c r="C48" s="18" t="s">
        <v>298</v>
      </c>
      <c r="D48" s="18" t="s">
        <v>172</v>
      </c>
      <c r="E48" s="21">
        <v>42500</v>
      </c>
      <c r="F48" s="19">
        <v>190.1875</v>
      </c>
      <c r="G48" s="20">
        <v>0.340629541239098</v>
      </c>
      <c r="H48" s="22"/>
    </row>
    <row r="49" spans="2:8" x14ac:dyDescent="0.2">
      <c r="B49" s="18" t="s">
        <v>138</v>
      </c>
      <c r="C49" s="18" t="s">
        <v>139</v>
      </c>
      <c r="D49" s="18" t="s">
        <v>47</v>
      </c>
      <c r="E49" s="21">
        <v>6400</v>
      </c>
      <c r="F49" s="19">
        <v>188.8</v>
      </c>
      <c r="G49" s="20">
        <v>0.33814450153633502</v>
      </c>
      <c r="H49" s="22"/>
    </row>
    <row r="50" spans="2:8" x14ac:dyDescent="0.2">
      <c r="B50" s="18" t="s">
        <v>259</v>
      </c>
      <c r="C50" s="18" t="s">
        <v>260</v>
      </c>
      <c r="D50" s="18" t="s">
        <v>201</v>
      </c>
      <c r="E50" s="21">
        <v>8400</v>
      </c>
      <c r="F50" s="19">
        <v>183.9684</v>
      </c>
      <c r="G50" s="20">
        <v>0.32949101120994301</v>
      </c>
      <c r="H50" s="22"/>
    </row>
    <row r="51" spans="2:8" x14ac:dyDescent="0.2">
      <c r="B51" s="18" t="s">
        <v>72</v>
      </c>
      <c r="C51" s="18" t="s">
        <v>73</v>
      </c>
      <c r="D51" s="18" t="s">
        <v>54</v>
      </c>
      <c r="E51" s="21">
        <v>31050</v>
      </c>
      <c r="F51" s="19">
        <v>171.753075</v>
      </c>
      <c r="G51" s="20">
        <v>0.30761312464622798</v>
      </c>
      <c r="H51" s="22"/>
    </row>
    <row r="52" spans="2:8" x14ac:dyDescent="0.2">
      <c r="B52" s="18" t="s">
        <v>150</v>
      </c>
      <c r="C52" s="18" t="s">
        <v>151</v>
      </c>
      <c r="D52" s="18" t="s">
        <v>69</v>
      </c>
      <c r="E52" s="21">
        <v>9450</v>
      </c>
      <c r="F52" s="19">
        <v>171.6687</v>
      </c>
      <c r="G52" s="20">
        <v>0.30746200736700602</v>
      </c>
      <c r="H52" s="22"/>
    </row>
    <row r="53" spans="2:8" x14ac:dyDescent="0.2">
      <c r="B53" s="18" t="s">
        <v>148</v>
      </c>
      <c r="C53" s="18" t="s">
        <v>149</v>
      </c>
      <c r="D53" s="18" t="s">
        <v>48</v>
      </c>
      <c r="E53" s="21">
        <v>7875</v>
      </c>
      <c r="F53" s="19">
        <v>161.48474999999999</v>
      </c>
      <c r="G53" s="20">
        <v>0.28922235325460699</v>
      </c>
      <c r="H53" s="22"/>
    </row>
    <row r="54" spans="2:8" x14ac:dyDescent="0.2">
      <c r="B54" s="18" t="s">
        <v>271</v>
      </c>
      <c r="C54" s="18" t="s">
        <v>272</v>
      </c>
      <c r="D54" s="18" t="s">
        <v>58</v>
      </c>
      <c r="E54" s="21">
        <v>46875</v>
      </c>
      <c r="F54" s="19">
        <v>159.8203125</v>
      </c>
      <c r="G54" s="20">
        <v>0.28624131305981898</v>
      </c>
      <c r="H54" s="22"/>
    </row>
    <row r="55" spans="2:8" x14ac:dyDescent="0.2">
      <c r="B55" s="18" t="s">
        <v>136</v>
      </c>
      <c r="C55" s="18" t="s">
        <v>137</v>
      </c>
      <c r="D55" s="18" t="s">
        <v>21</v>
      </c>
      <c r="E55" s="21">
        <v>36000</v>
      </c>
      <c r="F55" s="19">
        <v>150.12</v>
      </c>
      <c r="G55" s="20">
        <v>0.26886786319192102</v>
      </c>
      <c r="H55" s="22"/>
    </row>
    <row r="56" spans="2:8" x14ac:dyDescent="0.2">
      <c r="B56" s="18" t="s">
        <v>156</v>
      </c>
      <c r="C56" s="18" t="s">
        <v>157</v>
      </c>
      <c r="D56" s="18" t="s">
        <v>47</v>
      </c>
      <c r="E56" s="21">
        <v>1250</v>
      </c>
      <c r="F56" s="19">
        <v>149.58750000000001</v>
      </c>
      <c r="G56" s="20">
        <v>0.26791414525194202</v>
      </c>
      <c r="H56" s="22"/>
    </row>
    <row r="57" spans="2:8" x14ac:dyDescent="0.2">
      <c r="B57" s="18" t="s">
        <v>187</v>
      </c>
      <c r="C57" s="18" t="s">
        <v>188</v>
      </c>
      <c r="D57" s="18" t="s">
        <v>69</v>
      </c>
      <c r="E57" s="21">
        <v>7225</v>
      </c>
      <c r="F57" s="19">
        <v>146.68195</v>
      </c>
      <c r="G57" s="20">
        <v>0.26271024823690498</v>
      </c>
      <c r="H57" s="22"/>
    </row>
    <row r="58" spans="2:8" x14ac:dyDescent="0.2">
      <c r="B58" s="18" t="s">
        <v>255</v>
      </c>
      <c r="C58" s="18" t="s">
        <v>256</v>
      </c>
      <c r="D58" s="18" t="s">
        <v>200</v>
      </c>
      <c r="E58" s="21">
        <v>90000</v>
      </c>
      <c r="F58" s="19">
        <v>138.77099999999999</v>
      </c>
      <c r="G58" s="20">
        <v>0.24854158168802301</v>
      </c>
      <c r="H58" s="22"/>
    </row>
    <row r="59" spans="2:8" x14ac:dyDescent="0.2">
      <c r="B59" s="18" t="s">
        <v>206</v>
      </c>
      <c r="C59" s="18" t="s">
        <v>207</v>
      </c>
      <c r="D59" s="18" t="s">
        <v>163</v>
      </c>
      <c r="E59" s="21">
        <v>2550</v>
      </c>
      <c r="F59" s="19">
        <v>119.03400000000001</v>
      </c>
      <c r="G59" s="20">
        <v>0.21319222773239499</v>
      </c>
      <c r="H59" s="22"/>
    </row>
    <row r="60" spans="2:8" x14ac:dyDescent="0.2">
      <c r="B60" s="18" t="s">
        <v>180</v>
      </c>
      <c r="C60" s="18" t="s">
        <v>181</v>
      </c>
      <c r="D60" s="18" t="s">
        <v>182</v>
      </c>
      <c r="E60" s="21">
        <v>51750</v>
      </c>
      <c r="F60" s="19">
        <v>116.8515</v>
      </c>
      <c r="G60" s="20">
        <v>0.20928332744318401</v>
      </c>
      <c r="H60" s="22"/>
    </row>
    <row r="61" spans="2:8" x14ac:dyDescent="0.2">
      <c r="B61" s="18" t="s">
        <v>152</v>
      </c>
      <c r="C61" s="18" t="s">
        <v>153</v>
      </c>
      <c r="D61" s="18" t="s">
        <v>54</v>
      </c>
      <c r="E61" s="21">
        <v>2275</v>
      </c>
      <c r="F61" s="19">
        <v>104.35424999999999</v>
      </c>
      <c r="G61" s="20">
        <v>0.18690050767716199</v>
      </c>
      <c r="H61" s="22"/>
    </row>
    <row r="62" spans="2:8" x14ac:dyDescent="0.2">
      <c r="B62" s="18" t="s">
        <v>27</v>
      </c>
      <c r="C62" s="18" t="s">
        <v>28</v>
      </c>
      <c r="D62" s="18" t="s">
        <v>11</v>
      </c>
      <c r="E62" s="21">
        <v>14000</v>
      </c>
      <c r="F62" s="19">
        <v>102.011</v>
      </c>
      <c r="G62" s="20">
        <v>0.182703700986351</v>
      </c>
      <c r="H62" s="22"/>
    </row>
    <row r="63" spans="2:8" x14ac:dyDescent="0.2">
      <c r="B63" s="18" t="s">
        <v>191</v>
      </c>
      <c r="C63" s="18" t="s">
        <v>192</v>
      </c>
      <c r="D63" s="18" t="s">
        <v>92</v>
      </c>
      <c r="E63" s="21">
        <v>2100</v>
      </c>
      <c r="F63" s="19">
        <v>91.686000000000007</v>
      </c>
      <c r="G63" s="20">
        <v>0.16421142355858301</v>
      </c>
      <c r="H63" s="22"/>
    </row>
    <row r="64" spans="2:8" x14ac:dyDescent="0.2">
      <c r="B64" s="18" t="s">
        <v>267</v>
      </c>
      <c r="C64" s="18" t="s">
        <v>268</v>
      </c>
      <c r="D64" s="18" t="s">
        <v>57</v>
      </c>
      <c r="E64" s="21">
        <v>21700</v>
      </c>
      <c r="F64" s="19">
        <v>82.590199999999996</v>
      </c>
      <c r="G64" s="20">
        <v>0.147920667430012</v>
      </c>
      <c r="H64" s="22"/>
    </row>
    <row r="65" spans="2:8" x14ac:dyDescent="0.2">
      <c r="B65" s="18" t="s">
        <v>158</v>
      </c>
      <c r="C65" s="18" t="s">
        <v>159</v>
      </c>
      <c r="D65" s="18" t="s">
        <v>160</v>
      </c>
      <c r="E65" s="21">
        <v>25500</v>
      </c>
      <c r="F65" s="19">
        <v>82.301249999999996</v>
      </c>
      <c r="G65" s="20">
        <v>0.147403152314975</v>
      </c>
      <c r="H65" s="22"/>
    </row>
    <row r="66" spans="2:8" x14ac:dyDescent="0.2">
      <c r="B66" s="18" t="s">
        <v>273</v>
      </c>
      <c r="C66" s="18" t="s">
        <v>274</v>
      </c>
      <c r="D66" s="18" t="s">
        <v>160</v>
      </c>
      <c r="E66" s="21">
        <v>16125</v>
      </c>
      <c r="F66" s="19">
        <v>79.770375000000001</v>
      </c>
      <c r="G66" s="20">
        <v>0.14287030557066499</v>
      </c>
      <c r="H66" s="22"/>
    </row>
    <row r="67" spans="2:8" x14ac:dyDescent="0.2">
      <c r="B67" s="18" t="s">
        <v>168</v>
      </c>
      <c r="C67" s="18" t="s">
        <v>169</v>
      </c>
      <c r="D67" s="18" t="s">
        <v>160</v>
      </c>
      <c r="E67" s="21">
        <v>30400</v>
      </c>
      <c r="F67" s="19">
        <v>79.191999999999993</v>
      </c>
      <c r="G67" s="20">
        <v>0.14183442460627901</v>
      </c>
      <c r="H67" s="22"/>
    </row>
    <row r="68" spans="2:8" x14ac:dyDescent="0.2">
      <c r="B68" s="18" t="s">
        <v>183</v>
      </c>
      <c r="C68" s="18" t="s">
        <v>184</v>
      </c>
      <c r="D68" s="18" t="s">
        <v>57</v>
      </c>
      <c r="E68" s="21">
        <v>35250</v>
      </c>
      <c r="F68" s="19">
        <v>76.450199999999995</v>
      </c>
      <c r="G68" s="20">
        <v>0.13692380705165899</v>
      </c>
      <c r="H68" s="22"/>
    </row>
    <row r="69" spans="2:8" x14ac:dyDescent="0.2">
      <c r="B69" s="18" t="s">
        <v>70</v>
      </c>
      <c r="C69" s="18" t="s">
        <v>71</v>
      </c>
      <c r="D69" s="18" t="s">
        <v>61</v>
      </c>
      <c r="E69" s="21">
        <v>9600</v>
      </c>
      <c r="F69" s="19">
        <v>75.456000000000003</v>
      </c>
      <c r="G69" s="20">
        <v>0.13514317535977599</v>
      </c>
      <c r="H69" s="22"/>
    </row>
    <row r="70" spans="2:8" x14ac:dyDescent="0.2">
      <c r="B70" s="18" t="s">
        <v>277</v>
      </c>
      <c r="C70" s="18" t="s">
        <v>278</v>
      </c>
      <c r="D70" s="18" t="s">
        <v>69</v>
      </c>
      <c r="E70" s="21">
        <v>20000</v>
      </c>
      <c r="F70" s="19">
        <v>74.06</v>
      </c>
      <c r="G70" s="20">
        <v>0.13264291199036499</v>
      </c>
      <c r="H70" s="22"/>
    </row>
    <row r="71" spans="2:8" x14ac:dyDescent="0.2">
      <c r="B71" s="18" t="s">
        <v>178</v>
      </c>
      <c r="C71" s="18" t="s">
        <v>179</v>
      </c>
      <c r="D71" s="18" t="s">
        <v>48</v>
      </c>
      <c r="E71" s="21">
        <v>4800</v>
      </c>
      <c r="F71" s="19">
        <v>73.152000000000001</v>
      </c>
      <c r="G71" s="20">
        <v>0.13101666618848501</v>
      </c>
      <c r="H71" s="22"/>
    </row>
    <row r="72" spans="2:8" x14ac:dyDescent="0.2">
      <c r="B72" s="18" t="s">
        <v>29</v>
      </c>
      <c r="C72" s="18" t="s">
        <v>30</v>
      </c>
      <c r="D72" s="18" t="s">
        <v>26</v>
      </c>
      <c r="E72" s="21">
        <v>53625</v>
      </c>
      <c r="F72" s="19">
        <v>72.356212499999998</v>
      </c>
      <c r="G72" s="20">
        <v>0.12959139517409801</v>
      </c>
      <c r="H72" s="22"/>
    </row>
    <row r="73" spans="2:8" x14ac:dyDescent="0.2">
      <c r="B73" s="18" t="s">
        <v>154</v>
      </c>
      <c r="C73" s="18" t="s">
        <v>155</v>
      </c>
      <c r="D73" s="18" t="s">
        <v>144</v>
      </c>
      <c r="E73" s="21">
        <v>3600</v>
      </c>
      <c r="F73" s="19">
        <v>67.647599999999997</v>
      </c>
      <c r="G73" s="20">
        <v>0.121158177871448</v>
      </c>
      <c r="H73" s="22"/>
    </row>
    <row r="74" spans="2:8" x14ac:dyDescent="0.2">
      <c r="B74" s="18" t="s">
        <v>37</v>
      </c>
      <c r="C74" s="18" t="s">
        <v>38</v>
      </c>
      <c r="D74" s="18" t="s">
        <v>39</v>
      </c>
      <c r="E74" s="21">
        <v>15750</v>
      </c>
      <c r="F74" s="19">
        <v>65.441249999999997</v>
      </c>
      <c r="G74" s="20">
        <v>0.117206561764644</v>
      </c>
      <c r="H74" s="22"/>
    </row>
    <row r="75" spans="2:8" x14ac:dyDescent="0.2">
      <c r="B75" s="18" t="s">
        <v>291</v>
      </c>
      <c r="C75" s="18" t="s">
        <v>292</v>
      </c>
      <c r="D75" s="18" t="s">
        <v>57</v>
      </c>
      <c r="E75" s="21">
        <v>11200</v>
      </c>
      <c r="F75" s="19">
        <v>64.741600000000005</v>
      </c>
      <c r="G75" s="20">
        <v>0.115953474897589</v>
      </c>
      <c r="H75" s="22"/>
    </row>
    <row r="76" spans="2:8" x14ac:dyDescent="0.2">
      <c r="B76" s="18" t="s">
        <v>295</v>
      </c>
      <c r="C76" s="18" t="s">
        <v>296</v>
      </c>
      <c r="D76" s="18" t="s">
        <v>57</v>
      </c>
      <c r="E76" s="21">
        <v>12000</v>
      </c>
      <c r="F76" s="19">
        <v>63.624000000000002</v>
      </c>
      <c r="G76" s="20">
        <v>0.113951831386376</v>
      </c>
      <c r="H76" s="22"/>
    </row>
    <row r="77" spans="2:8" x14ac:dyDescent="0.2">
      <c r="B77" s="18" t="s">
        <v>22</v>
      </c>
      <c r="C77" s="18" t="s">
        <v>23</v>
      </c>
      <c r="D77" s="18" t="s">
        <v>21</v>
      </c>
      <c r="E77" s="21">
        <v>56000</v>
      </c>
      <c r="F77" s="19">
        <v>63.313600000000001</v>
      </c>
      <c r="G77" s="20">
        <v>0.113395898900799</v>
      </c>
      <c r="H77" s="22"/>
    </row>
    <row r="78" spans="2:8" x14ac:dyDescent="0.2">
      <c r="B78" s="18" t="s">
        <v>236</v>
      </c>
      <c r="C78" s="18" t="s">
        <v>237</v>
      </c>
      <c r="D78" s="18" t="s">
        <v>160</v>
      </c>
      <c r="E78" s="21">
        <v>17400</v>
      </c>
      <c r="F78" s="19">
        <v>62.466000000000001</v>
      </c>
      <c r="G78" s="20">
        <v>0.11187783068309699</v>
      </c>
      <c r="H78" s="22"/>
    </row>
    <row r="79" spans="2:8" x14ac:dyDescent="0.2">
      <c r="B79" s="18" t="s">
        <v>204</v>
      </c>
      <c r="C79" s="18" t="s">
        <v>205</v>
      </c>
      <c r="D79" s="18" t="s">
        <v>69</v>
      </c>
      <c r="E79" s="21">
        <v>3300</v>
      </c>
      <c r="F79" s="19">
        <v>55.176000000000002</v>
      </c>
      <c r="G79" s="20">
        <v>9.8821297758309501E-2</v>
      </c>
      <c r="H79" s="22"/>
    </row>
    <row r="80" spans="2:8" x14ac:dyDescent="0.2">
      <c r="B80" s="18" t="s">
        <v>225</v>
      </c>
      <c r="C80" s="18" t="s">
        <v>226</v>
      </c>
      <c r="D80" s="18" t="s">
        <v>79</v>
      </c>
      <c r="E80" s="21">
        <v>13600</v>
      </c>
      <c r="F80" s="19">
        <v>50.755200000000002</v>
      </c>
      <c r="G80" s="20">
        <v>9.0903558285895206E-2</v>
      </c>
      <c r="H80" s="22"/>
    </row>
    <row r="81" spans="2:8" x14ac:dyDescent="0.2">
      <c r="B81" s="18" t="s">
        <v>249</v>
      </c>
      <c r="C81" s="18" t="s">
        <v>250</v>
      </c>
      <c r="D81" s="18" t="s">
        <v>21</v>
      </c>
      <c r="E81" s="21">
        <v>5000</v>
      </c>
      <c r="F81" s="19">
        <v>50.515000000000001</v>
      </c>
      <c r="G81" s="20">
        <v>9.0473355376631204E-2</v>
      </c>
      <c r="H81" s="22"/>
    </row>
    <row r="82" spans="2:8" x14ac:dyDescent="0.2">
      <c r="B82" s="18" t="s">
        <v>306</v>
      </c>
      <c r="C82" s="18" t="s">
        <v>307</v>
      </c>
      <c r="D82" s="18" t="s">
        <v>66</v>
      </c>
      <c r="E82" s="21">
        <v>7425</v>
      </c>
      <c r="F82" s="19">
        <v>49.821750000000002</v>
      </c>
      <c r="G82" s="20">
        <v>8.9231731035052497E-2</v>
      </c>
      <c r="H82" s="22"/>
    </row>
    <row r="83" spans="2:8" x14ac:dyDescent="0.2">
      <c r="B83" s="18" t="s">
        <v>85</v>
      </c>
      <c r="C83" s="18" t="s">
        <v>86</v>
      </c>
      <c r="D83" s="18" t="s">
        <v>57</v>
      </c>
      <c r="E83" s="21">
        <v>450</v>
      </c>
      <c r="F83" s="19">
        <v>48.545999999999999</v>
      </c>
      <c r="G83" s="20">
        <v>8.69468377732147E-2</v>
      </c>
      <c r="H83" s="22"/>
    </row>
    <row r="84" spans="2:8" x14ac:dyDescent="0.2">
      <c r="B84" s="18" t="s">
        <v>52</v>
      </c>
      <c r="C84" s="18" t="s">
        <v>53</v>
      </c>
      <c r="D84" s="18" t="s">
        <v>54</v>
      </c>
      <c r="E84" s="21">
        <v>2000</v>
      </c>
      <c r="F84" s="19">
        <v>48.052</v>
      </c>
      <c r="G84" s="20">
        <v>8.6062074088050805E-2</v>
      </c>
      <c r="H84" s="22"/>
    </row>
    <row r="85" spans="2:8" x14ac:dyDescent="0.2">
      <c r="B85" s="18" t="s">
        <v>245</v>
      </c>
      <c r="C85" s="18" t="s">
        <v>246</v>
      </c>
      <c r="D85" s="18" t="s">
        <v>21</v>
      </c>
      <c r="E85" s="21">
        <v>26550</v>
      </c>
      <c r="F85" s="19">
        <v>45.400500000000001</v>
      </c>
      <c r="G85" s="20">
        <v>8.1313185603815605E-2</v>
      </c>
      <c r="H85" s="22"/>
    </row>
    <row r="86" spans="2:8" x14ac:dyDescent="0.2">
      <c r="B86" s="18" t="s">
        <v>24</v>
      </c>
      <c r="C86" s="18" t="s">
        <v>25</v>
      </c>
      <c r="D86" s="18" t="s">
        <v>26</v>
      </c>
      <c r="E86" s="21">
        <v>12150</v>
      </c>
      <c r="F86" s="19">
        <v>42.567525000000003</v>
      </c>
      <c r="G86" s="20">
        <v>7.6239271836655104E-2</v>
      </c>
      <c r="H86" s="22"/>
    </row>
    <row r="87" spans="2:8" x14ac:dyDescent="0.2">
      <c r="B87" s="18" t="s">
        <v>45</v>
      </c>
      <c r="C87" s="18" t="s">
        <v>46</v>
      </c>
      <c r="D87" s="18" t="s">
        <v>47</v>
      </c>
      <c r="E87" s="21">
        <v>375</v>
      </c>
      <c r="F87" s="19">
        <v>40.777500000000003</v>
      </c>
      <c r="G87" s="20">
        <v>7.3033301967149994E-2</v>
      </c>
      <c r="H87" s="22"/>
    </row>
    <row r="88" spans="2:8" x14ac:dyDescent="0.2">
      <c r="B88" s="18" t="s">
        <v>62</v>
      </c>
      <c r="C88" s="18" t="s">
        <v>63</v>
      </c>
      <c r="D88" s="18" t="s">
        <v>47</v>
      </c>
      <c r="E88" s="21">
        <v>750</v>
      </c>
      <c r="F88" s="19">
        <v>39.307499999999997</v>
      </c>
      <c r="G88" s="20">
        <v>7.0400503146925295E-2</v>
      </c>
      <c r="H88" s="22"/>
    </row>
    <row r="89" spans="2:8" x14ac:dyDescent="0.2">
      <c r="B89" s="18" t="s">
        <v>198</v>
      </c>
      <c r="C89" s="18" t="s">
        <v>199</v>
      </c>
      <c r="D89" s="18" t="s">
        <v>17</v>
      </c>
      <c r="E89" s="21">
        <v>18800</v>
      </c>
      <c r="F89" s="19">
        <v>34.12012</v>
      </c>
      <c r="G89" s="20">
        <v>6.1109803865253901E-2</v>
      </c>
      <c r="H89" s="22"/>
    </row>
    <row r="90" spans="2:8" x14ac:dyDescent="0.2">
      <c r="B90" s="18" t="s">
        <v>253</v>
      </c>
      <c r="C90" s="18" t="s">
        <v>254</v>
      </c>
      <c r="D90" s="18" t="s">
        <v>147</v>
      </c>
      <c r="E90" s="21">
        <v>2750</v>
      </c>
      <c r="F90" s="19">
        <v>33.536250000000003</v>
      </c>
      <c r="G90" s="20">
        <v>6.0064081248135198E-2</v>
      </c>
      <c r="H90" s="22"/>
    </row>
    <row r="91" spans="2:8" x14ac:dyDescent="0.2">
      <c r="B91" s="18" t="s">
        <v>93</v>
      </c>
      <c r="C91" s="18" t="s">
        <v>94</v>
      </c>
      <c r="D91" s="18" t="s">
        <v>47</v>
      </c>
      <c r="E91" s="21">
        <v>11200</v>
      </c>
      <c r="F91" s="19">
        <v>31.751999999999999</v>
      </c>
      <c r="G91" s="20">
        <v>5.6868454516852303E-2</v>
      </c>
      <c r="H91" s="22"/>
    </row>
    <row r="92" spans="2:8" x14ac:dyDescent="0.2">
      <c r="B92" s="18" t="s">
        <v>220</v>
      </c>
      <c r="C92" s="18" t="s">
        <v>221</v>
      </c>
      <c r="D92" s="18" t="s">
        <v>39</v>
      </c>
      <c r="E92" s="21">
        <v>750</v>
      </c>
      <c r="F92" s="19">
        <v>31.5075</v>
      </c>
      <c r="G92" s="20">
        <v>5.6430550223284401E-2</v>
      </c>
      <c r="H92" s="22"/>
    </row>
    <row r="93" spans="2:8" x14ac:dyDescent="0.2">
      <c r="B93" s="18" t="s">
        <v>173</v>
      </c>
      <c r="C93" s="18" t="s">
        <v>174</v>
      </c>
      <c r="D93" s="18" t="s">
        <v>57</v>
      </c>
      <c r="E93" s="21">
        <v>1800</v>
      </c>
      <c r="F93" s="19">
        <v>31.158000000000001</v>
      </c>
      <c r="G93" s="20">
        <v>5.58045888711289E-2</v>
      </c>
      <c r="H93" s="22"/>
    </row>
    <row r="94" spans="2:8" x14ac:dyDescent="0.2">
      <c r="B94" s="18" t="s">
        <v>55</v>
      </c>
      <c r="C94" s="18" t="s">
        <v>56</v>
      </c>
      <c r="D94" s="18" t="s">
        <v>57</v>
      </c>
      <c r="E94" s="21">
        <v>1875</v>
      </c>
      <c r="F94" s="19">
        <v>30.375</v>
      </c>
      <c r="G94" s="20">
        <v>5.4402220519948002E-2</v>
      </c>
      <c r="H94" s="22"/>
    </row>
    <row r="95" spans="2:8" x14ac:dyDescent="0.2">
      <c r="B95" s="18" t="s">
        <v>193</v>
      </c>
      <c r="C95" s="18" t="s">
        <v>194</v>
      </c>
      <c r="D95" s="18" t="s">
        <v>195</v>
      </c>
      <c r="E95" s="21">
        <v>17750</v>
      </c>
      <c r="F95" s="19">
        <v>30.272625000000001</v>
      </c>
      <c r="G95" s="20">
        <v>5.4218864887825201E-2</v>
      </c>
      <c r="H95" s="22"/>
    </row>
    <row r="96" spans="2:8" x14ac:dyDescent="0.2">
      <c r="B96" s="18" t="s">
        <v>170</v>
      </c>
      <c r="C96" s="18" t="s">
        <v>171</v>
      </c>
      <c r="D96" s="18" t="s">
        <v>172</v>
      </c>
      <c r="E96" s="21">
        <v>600</v>
      </c>
      <c r="F96" s="19">
        <v>29.904</v>
      </c>
      <c r="G96" s="20">
        <v>5.35586502857128E-2</v>
      </c>
      <c r="H96" s="22"/>
    </row>
    <row r="97" spans="2:8" x14ac:dyDescent="0.2">
      <c r="B97" s="18" t="s">
        <v>257</v>
      </c>
      <c r="C97" s="18" t="s">
        <v>258</v>
      </c>
      <c r="D97" s="18" t="s">
        <v>74</v>
      </c>
      <c r="E97" s="21">
        <v>3875</v>
      </c>
      <c r="F97" s="19">
        <v>29.837499999999999</v>
      </c>
      <c r="G97" s="20">
        <v>5.34395474819407E-2</v>
      </c>
      <c r="H97" s="22"/>
    </row>
    <row r="98" spans="2:8" x14ac:dyDescent="0.2">
      <c r="B98" s="18" t="s">
        <v>287</v>
      </c>
      <c r="C98" s="18" t="s">
        <v>288</v>
      </c>
      <c r="D98" s="18" t="s">
        <v>57</v>
      </c>
      <c r="E98" s="21">
        <v>11250</v>
      </c>
      <c r="F98" s="19">
        <v>29.8125</v>
      </c>
      <c r="G98" s="20">
        <v>5.3394771991800802E-2</v>
      </c>
      <c r="H98" s="22"/>
    </row>
    <row r="99" spans="2:8" x14ac:dyDescent="0.2">
      <c r="B99" s="18" t="s">
        <v>42</v>
      </c>
      <c r="C99" s="18" t="s">
        <v>43</v>
      </c>
      <c r="D99" s="18" t="s">
        <v>44</v>
      </c>
      <c r="E99" s="21">
        <v>5420</v>
      </c>
      <c r="F99" s="19">
        <v>29.254449999999999</v>
      </c>
      <c r="G99" s="20">
        <v>5.2395293500898499E-2</v>
      </c>
      <c r="H99" s="22"/>
    </row>
    <row r="100" spans="2:8" x14ac:dyDescent="0.2">
      <c r="B100" s="18" t="s">
        <v>185</v>
      </c>
      <c r="C100" s="18" t="s">
        <v>186</v>
      </c>
      <c r="D100" s="18" t="s">
        <v>14</v>
      </c>
      <c r="E100" s="21">
        <v>5500</v>
      </c>
      <c r="F100" s="19">
        <v>28.666</v>
      </c>
      <c r="G100" s="20">
        <v>5.1341368013986199E-2</v>
      </c>
      <c r="H100" s="22"/>
    </row>
    <row r="101" spans="2:8" x14ac:dyDescent="0.2">
      <c r="B101" s="18" t="s">
        <v>202</v>
      </c>
      <c r="C101" s="18" t="s">
        <v>203</v>
      </c>
      <c r="D101" s="18" t="s">
        <v>66</v>
      </c>
      <c r="E101" s="21">
        <v>1200</v>
      </c>
      <c r="F101" s="19">
        <v>27.368400000000001</v>
      </c>
      <c r="G101" s="20">
        <v>4.9017340973766102E-2</v>
      </c>
      <c r="H101" s="22"/>
    </row>
    <row r="102" spans="2:8" x14ac:dyDescent="0.2">
      <c r="B102" s="18" t="s">
        <v>300</v>
      </c>
      <c r="C102" s="18" t="s">
        <v>301</v>
      </c>
      <c r="D102" s="18" t="s">
        <v>21</v>
      </c>
      <c r="E102" s="21">
        <v>6350</v>
      </c>
      <c r="F102" s="19">
        <v>25.612725000000001</v>
      </c>
      <c r="G102" s="20">
        <v>4.5872892627713102E-2</v>
      </c>
      <c r="H102" s="22"/>
    </row>
    <row r="103" spans="2:8" x14ac:dyDescent="0.2">
      <c r="B103" s="18" t="s">
        <v>218</v>
      </c>
      <c r="C103" s="18" t="s">
        <v>219</v>
      </c>
      <c r="D103" s="18" t="s">
        <v>48</v>
      </c>
      <c r="E103" s="21">
        <v>1425</v>
      </c>
      <c r="F103" s="19">
        <v>24.924675000000001</v>
      </c>
      <c r="G103" s="20">
        <v>4.4640581588083497E-2</v>
      </c>
      <c r="H103" s="22"/>
    </row>
    <row r="104" spans="2:8" x14ac:dyDescent="0.2">
      <c r="B104" s="18" t="s">
        <v>275</v>
      </c>
      <c r="C104" s="18" t="s">
        <v>276</v>
      </c>
      <c r="D104" s="18" t="s">
        <v>48</v>
      </c>
      <c r="E104" s="21">
        <v>1100</v>
      </c>
      <c r="F104" s="19">
        <v>23.698399999999999</v>
      </c>
      <c r="G104" s="20">
        <v>4.24442990212325E-2</v>
      </c>
      <c r="H104" s="22"/>
    </row>
    <row r="105" spans="2:8" x14ac:dyDescent="0.2">
      <c r="B105" s="18" t="s">
        <v>33</v>
      </c>
      <c r="C105" s="18" t="s">
        <v>34</v>
      </c>
      <c r="D105" s="18" t="s">
        <v>18</v>
      </c>
      <c r="E105" s="21">
        <v>12300</v>
      </c>
      <c r="F105" s="19">
        <v>20.08098</v>
      </c>
      <c r="G105" s="20">
        <v>3.5965428879561001E-2</v>
      </c>
      <c r="H105" s="22"/>
    </row>
    <row r="106" spans="2:8" x14ac:dyDescent="0.2">
      <c r="B106" s="18" t="s">
        <v>129</v>
      </c>
      <c r="C106" s="18" t="s">
        <v>130</v>
      </c>
      <c r="D106" s="18" t="s">
        <v>131</v>
      </c>
      <c r="E106" s="21">
        <v>525</v>
      </c>
      <c r="F106" s="19">
        <v>19.739999999999998</v>
      </c>
      <c r="G106" s="20">
        <v>3.5354727014445197E-2</v>
      </c>
      <c r="H106" s="22"/>
    </row>
    <row r="107" spans="2:8" x14ac:dyDescent="0.2">
      <c r="B107" s="18" t="s">
        <v>281</v>
      </c>
      <c r="C107" s="18" t="s">
        <v>282</v>
      </c>
      <c r="D107" s="18" t="s">
        <v>182</v>
      </c>
      <c r="E107" s="21">
        <v>4200</v>
      </c>
      <c r="F107" s="19">
        <v>18.843299999999999</v>
      </c>
      <c r="G107" s="20">
        <v>3.3748719734108201E-2</v>
      </c>
      <c r="H107" s="22"/>
    </row>
    <row r="108" spans="2:8" x14ac:dyDescent="0.2">
      <c r="B108" s="18" t="s">
        <v>312</v>
      </c>
      <c r="C108" s="18" t="s">
        <v>313</v>
      </c>
      <c r="D108" s="18" t="s">
        <v>66</v>
      </c>
      <c r="E108" s="21">
        <v>17400</v>
      </c>
      <c r="F108" s="19">
        <v>18.617999999999999</v>
      </c>
      <c r="G108" s="20">
        <v>3.3345203016967598E-2</v>
      </c>
      <c r="H108" s="22"/>
    </row>
    <row r="109" spans="2:8" x14ac:dyDescent="0.2">
      <c r="B109" s="18" t="s">
        <v>59</v>
      </c>
      <c r="C109" s="18" t="s">
        <v>60</v>
      </c>
      <c r="D109" s="18" t="s">
        <v>61</v>
      </c>
      <c r="E109" s="21">
        <v>1650</v>
      </c>
      <c r="F109" s="19">
        <v>15.66675</v>
      </c>
      <c r="G109" s="20">
        <v>2.8059456405955401E-2</v>
      </c>
      <c r="H109" s="22"/>
    </row>
    <row r="110" spans="2:8" x14ac:dyDescent="0.2">
      <c r="B110" s="18" t="s">
        <v>310</v>
      </c>
      <c r="C110" s="18" t="s">
        <v>311</v>
      </c>
      <c r="D110" s="18" t="s">
        <v>299</v>
      </c>
      <c r="E110" s="21">
        <v>36000</v>
      </c>
      <c r="F110" s="19">
        <v>15.328799999999999</v>
      </c>
      <c r="G110" s="20">
        <v>2.74541813302446E-2</v>
      </c>
      <c r="H110" s="22"/>
    </row>
    <row r="111" spans="2:8" x14ac:dyDescent="0.2">
      <c r="B111" s="18" t="s">
        <v>212</v>
      </c>
      <c r="C111" s="18" t="s">
        <v>213</v>
      </c>
      <c r="D111" s="18" t="s">
        <v>39</v>
      </c>
      <c r="E111" s="21">
        <v>50</v>
      </c>
      <c r="F111" s="19">
        <v>15.315</v>
      </c>
      <c r="G111" s="20">
        <v>2.74294652596874E-2</v>
      </c>
      <c r="H111" s="22"/>
    </row>
    <row r="112" spans="2:8" x14ac:dyDescent="0.2">
      <c r="B112" s="18" t="s">
        <v>251</v>
      </c>
      <c r="C112" s="18" t="s">
        <v>252</v>
      </c>
      <c r="D112" s="18" t="s">
        <v>39</v>
      </c>
      <c r="E112" s="21">
        <v>38100</v>
      </c>
      <c r="F112" s="19">
        <v>15.04569</v>
      </c>
      <c r="G112" s="20">
        <v>2.6947125769704601E-2</v>
      </c>
      <c r="H112" s="22"/>
    </row>
    <row r="113" spans="2:9" x14ac:dyDescent="0.2">
      <c r="B113" s="18" t="s">
        <v>265</v>
      </c>
      <c r="C113" s="18" t="s">
        <v>266</v>
      </c>
      <c r="D113" s="18" t="s">
        <v>89</v>
      </c>
      <c r="E113" s="21">
        <v>700</v>
      </c>
      <c r="F113" s="19">
        <v>13.545</v>
      </c>
      <c r="G113" s="20">
        <v>2.4259360557784201E-2</v>
      </c>
      <c r="H113" s="22"/>
    </row>
    <row r="114" spans="2:9" x14ac:dyDescent="0.2">
      <c r="B114" s="18" t="s">
        <v>238</v>
      </c>
      <c r="C114" s="18" t="s">
        <v>239</v>
      </c>
      <c r="D114" s="18" t="s">
        <v>89</v>
      </c>
      <c r="E114" s="21">
        <v>1900</v>
      </c>
      <c r="F114" s="19">
        <v>12.805999999999999</v>
      </c>
      <c r="G114" s="20">
        <v>2.2935797069249499E-2</v>
      </c>
      <c r="H114" s="22"/>
    </row>
    <row r="115" spans="2:9" x14ac:dyDescent="0.2">
      <c r="B115" s="18" t="s">
        <v>261</v>
      </c>
      <c r="C115" s="18" t="s">
        <v>262</v>
      </c>
      <c r="D115" s="18" t="s">
        <v>14</v>
      </c>
      <c r="E115" s="21">
        <v>650</v>
      </c>
      <c r="F115" s="19">
        <v>10.335000000000001</v>
      </c>
      <c r="G115" s="20">
        <v>1.8510187623824299E-2</v>
      </c>
      <c r="H115" s="22"/>
    </row>
    <row r="116" spans="2:9" x14ac:dyDescent="0.2">
      <c r="B116" s="18" t="s">
        <v>95</v>
      </c>
      <c r="C116" s="18" t="s">
        <v>96</v>
      </c>
      <c r="D116" s="18" t="s">
        <v>17</v>
      </c>
      <c r="E116" s="21">
        <v>675</v>
      </c>
      <c r="F116" s="19">
        <v>8.4604499999999998</v>
      </c>
      <c r="G116" s="20">
        <v>1.5152831822156199E-2</v>
      </c>
      <c r="H116" s="22"/>
    </row>
    <row r="117" spans="2:9" x14ac:dyDescent="0.2">
      <c r="B117" s="18" t="s">
        <v>145</v>
      </c>
      <c r="C117" s="18" t="s">
        <v>146</v>
      </c>
      <c r="D117" s="18" t="s">
        <v>147</v>
      </c>
      <c r="E117" s="21">
        <v>2425</v>
      </c>
      <c r="F117" s="19">
        <v>7.76</v>
      </c>
      <c r="G117" s="20">
        <v>1.3898312139417199E-2</v>
      </c>
      <c r="H117" s="22"/>
    </row>
    <row r="118" spans="2:9" x14ac:dyDescent="0.2">
      <c r="B118" s="18" t="s">
        <v>269</v>
      </c>
      <c r="C118" s="18" t="s">
        <v>270</v>
      </c>
      <c r="D118" s="18" t="s">
        <v>69</v>
      </c>
      <c r="E118" s="21">
        <v>125</v>
      </c>
      <c r="F118" s="19">
        <v>6.4543749999999998</v>
      </c>
      <c r="G118" s="20">
        <v>1.15599121668622E-2</v>
      </c>
      <c r="H118" s="22"/>
    </row>
    <row r="119" spans="2:9" x14ac:dyDescent="0.2">
      <c r="B119" s="18" t="s">
        <v>83</v>
      </c>
      <c r="C119" s="18" t="s">
        <v>84</v>
      </c>
      <c r="D119" s="18" t="s">
        <v>10</v>
      </c>
      <c r="E119" s="21">
        <v>50</v>
      </c>
      <c r="F119" s="19">
        <v>5.4779999999999998</v>
      </c>
      <c r="G119" s="20">
        <v>9.8112053994493902E-3</v>
      </c>
      <c r="H119" s="22"/>
    </row>
    <row r="120" spans="2:9" x14ac:dyDescent="0.2">
      <c r="B120" s="18" t="s">
        <v>285</v>
      </c>
      <c r="C120" s="18" t="s">
        <v>286</v>
      </c>
      <c r="D120" s="18" t="s">
        <v>244</v>
      </c>
      <c r="E120" s="21">
        <v>275</v>
      </c>
      <c r="F120" s="19">
        <v>4.849075</v>
      </c>
      <c r="G120" s="20">
        <v>8.6847883940005602E-3</v>
      </c>
      <c r="H120" s="22"/>
    </row>
    <row r="121" spans="2:9" x14ac:dyDescent="0.2">
      <c r="B121" s="18" t="s">
        <v>279</v>
      </c>
      <c r="C121" s="18" t="s">
        <v>280</v>
      </c>
      <c r="D121" s="18" t="s">
        <v>18</v>
      </c>
      <c r="E121" s="21">
        <v>200</v>
      </c>
      <c r="F121" s="19">
        <v>4.75</v>
      </c>
      <c r="G121" s="20">
        <v>8.5073431265762292E-3</v>
      </c>
      <c r="H121" s="22"/>
    </row>
    <row r="122" spans="2:9" x14ac:dyDescent="0.2">
      <c r="B122" s="18" t="s">
        <v>316</v>
      </c>
      <c r="C122" s="18" t="s">
        <v>317</v>
      </c>
      <c r="D122" s="18" t="s">
        <v>39</v>
      </c>
      <c r="E122" s="21">
        <v>6400</v>
      </c>
      <c r="F122" s="19">
        <v>4.4486400000000001</v>
      </c>
      <c r="G122" s="20">
        <v>7.9676014582341307E-3</v>
      </c>
      <c r="H122" s="22"/>
    </row>
    <row r="123" spans="2:9" x14ac:dyDescent="0.2">
      <c r="B123" s="18" t="s">
        <v>283</v>
      </c>
      <c r="C123" s="18" t="s">
        <v>284</v>
      </c>
      <c r="D123" s="18" t="s">
        <v>54</v>
      </c>
      <c r="E123" s="21">
        <v>375</v>
      </c>
      <c r="F123" s="19">
        <v>4.0125000000000002</v>
      </c>
      <c r="G123" s="20">
        <v>7.1864661674499201E-3</v>
      </c>
      <c r="H123" s="22"/>
    </row>
    <row r="124" spans="2:9" ht="10.5" x14ac:dyDescent="0.25">
      <c r="B124" s="17" t="s">
        <v>97</v>
      </c>
      <c r="C124" s="17"/>
      <c r="D124" s="17"/>
      <c r="E124" s="17"/>
      <c r="F124" s="23">
        <f>SUM(F7:F123)</f>
        <v>41363.554555500028</v>
      </c>
      <c r="G124" s="24">
        <f>SUM(G7:G123)</f>
        <v>74.082937165998658</v>
      </c>
      <c r="H124" s="17"/>
      <c r="I124" s="11"/>
    </row>
    <row r="125" spans="2:9" ht="10.5" x14ac:dyDescent="0.25">
      <c r="B125" s="17" t="s">
        <v>98</v>
      </c>
      <c r="C125" s="17"/>
      <c r="D125" s="17"/>
      <c r="E125" s="17"/>
      <c r="F125" s="25" t="s">
        <v>99</v>
      </c>
      <c r="G125" s="26" t="s">
        <v>99</v>
      </c>
      <c r="H125" s="17"/>
      <c r="I125" s="11"/>
    </row>
    <row r="126" spans="2:9" ht="10.5" x14ac:dyDescent="0.25">
      <c r="B126" s="17" t="s">
        <v>97</v>
      </c>
      <c r="C126" s="17"/>
      <c r="D126" s="17"/>
      <c r="E126" s="17"/>
      <c r="F126" s="27" t="s">
        <v>99</v>
      </c>
      <c r="G126" s="28" t="s">
        <v>99</v>
      </c>
      <c r="H126" s="17"/>
      <c r="I126" s="11"/>
    </row>
    <row r="127" spans="2:9" ht="10.5" x14ac:dyDescent="0.25">
      <c r="B127" s="29" t="s">
        <v>102</v>
      </c>
      <c r="C127" s="29"/>
      <c r="D127" s="29"/>
      <c r="E127" s="29"/>
      <c r="F127" s="30">
        <f>F124</f>
        <v>41363.554555500028</v>
      </c>
      <c r="G127" s="31">
        <f>G124</f>
        <v>74.082937165998658</v>
      </c>
      <c r="H127" s="17"/>
      <c r="I127" s="11"/>
    </row>
    <row r="128" spans="2:9" ht="10.5" x14ac:dyDescent="0.25">
      <c r="B128" s="17" t="s">
        <v>227</v>
      </c>
      <c r="C128" s="18"/>
      <c r="D128" s="18"/>
      <c r="E128" s="18"/>
      <c r="F128" s="19"/>
      <c r="G128" s="20"/>
      <c r="H128" s="18"/>
    </row>
    <row r="129" spans="2:9" x14ac:dyDescent="0.2">
      <c r="B129" s="18" t="s">
        <v>230</v>
      </c>
      <c r="C129" s="18" t="s">
        <v>231</v>
      </c>
      <c r="D129" s="18" t="s">
        <v>229</v>
      </c>
      <c r="E129" s="21">
        <v>500</v>
      </c>
      <c r="F129" s="19">
        <v>2450.6025</v>
      </c>
      <c r="G129" s="20">
        <v>4.38907712302011</v>
      </c>
      <c r="H129" s="22">
        <v>6.7501000000000005E-2</v>
      </c>
    </row>
    <row r="130" spans="2:9" x14ac:dyDescent="0.2">
      <c r="B130" s="18" t="s">
        <v>318</v>
      </c>
      <c r="C130" s="18" t="s">
        <v>319</v>
      </c>
      <c r="D130" s="18" t="s">
        <v>228</v>
      </c>
      <c r="E130" s="21">
        <v>500</v>
      </c>
      <c r="F130" s="19">
        <v>2446.2775000000001</v>
      </c>
      <c r="G130" s="20">
        <v>4.3813309632259099</v>
      </c>
      <c r="H130" s="22">
        <v>6.7359000000000002E-2</v>
      </c>
    </row>
    <row r="131" spans="2:9" ht="10.5" x14ac:dyDescent="0.25">
      <c r="B131" s="17" t="s">
        <v>97</v>
      </c>
      <c r="C131" s="17"/>
      <c r="D131" s="17"/>
      <c r="E131" s="17"/>
      <c r="F131" s="32">
        <f>SUM(F128:F130)</f>
        <v>4896.88</v>
      </c>
      <c r="G131" s="33">
        <f>SUM(G128:G130)</f>
        <v>8.7704080862460199</v>
      </c>
      <c r="H131" s="17"/>
      <c r="I131" s="11"/>
    </row>
    <row r="132" spans="2:9" ht="10.5" x14ac:dyDescent="0.25">
      <c r="B132" s="29" t="s">
        <v>100</v>
      </c>
      <c r="C132" s="29"/>
      <c r="D132" s="29"/>
      <c r="E132" s="29"/>
      <c r="F132" s="30">
        <f>+F131</f>
        <v>4896.88</v>
      </c>
      <c r="G132" s="31">
        <f>+G131</f>
        <v>8.7704080862460199</v>
      </c>
      <c r="H132" s="17"/>
      <c r="I132" s="11"/>
    </row>
    <row r="133" spans="2:9" ht="10.5" x14ac:dyDescent="0.25">
      <c r="B133" s="17" t="s">
        <v>320</v>
      </c>
      <c r="C133" s="18"/>
      <c r="D133" s="18"/>
      <c r="E133" s="18"/>
      <c r="F133" s="19"/>
      <c r="G133" s="20"/>
      <c r="H133" s="18"/>
    </row>
    <row r="134" spans="2:9" x14ac:dyDescent="0.2">
      <c r="B134" s="18" t="s">
        <v>321</v>
      </c>
      <c r="C134" s="18" t="s">
        <v>322</v>
      </c>
      <c r="D134" s="18"/>
      <c r="E134" s="21">
        <v>577326.35100000002</v>
      </c>
      <c r="F134" s="19">
        <v>6230.9920887999997</v>
      </c>
      <c r="G134" s="20">
        <v>11.1598289933481</v>
      </c>
      <c r="H134" s="18"/>
    </row>
    <row r="135" spans="2:9" x14ac:dyDescent="0.2">
      <c r="B135" s="18" t="s">
        <v>323</v>
      </c>
      <c r="C135" s="18" t="s">
        <v>324</v>
      </c>
      <c r="D135" s="18"/>
      <c r="E135" s="21">
        <v>146361.65100000001</v>
      </c>
      <c r="F135" s="19">
        <v>1581.5035018000001</v>
      </c>
      <c r="G135" s="20">
        <v>2.8325037780409401</v>
      </c>
      <c r="H135" s="18"/>
    </row>
    <row r="136" spans="2:9" ht="10.5" x14ac:dyDescent="0.25">
      <c r="B136" s="17" t="s">
        <v>97</v>
      </c>
      <c r="C136" s="17"/>
      <c r="D136" s="17"/>
      <c r="E136" s="17"/>
      <c r="F136" s="23">
        <f>SUM(F134:F135)</f>
        <v>7812.4955905999996</v>
      </c>
      <c r="G136" s="24">
        <f>SUM(G134:G135)</f>
        <v>13.992332771389041</v>
      </c>
      <c r="H136" s="17"/>
      <c r="I136" s="11"/>
    </row>
    <row r="137" spans="2:9" ht="10.5" x14ac:dyDescent="0.25">
      <c r="B137" s="17"/>
      <c r="C137" s="18"/>
      <c r="D137" s="18"/>
      <c r="E137" s="18"/>
      <c r="F137" s="19"/>
      <c r="G137" s="20"/>
      <c r="H137" s="18"/>
    </row>
    <row r="138" spans="2:9" ht="10.5" x14ac:dyDescent="0.25">
      <c r="B138" s="17" t="s">
        <v>103</v>
      </c>
      <c r="C138" s="17"/>
      <c r="D138" s="17"/>
      <c r="E138" s="17"/>
      <c r="F138" s="23">
        <v>2760.221462</v>
      </c>
      <c r="G138" s="24">
        <v>4.9436107542260803</v>
      </c>
      <c r="H138" s="22">
        <v>5.163222E-2</v>
      </c>
      <c r="I138" s="12"/>
    </row>
    <row r="139" spans="2:9" x14ac:dyDescent="0.2">
      <c r="B139" s="18"/>
      <c r="C139" s="18"/>
      <c r="D139" s="18"/>
      <c r="E139" s="18"/>
      <c r="F139" s="19"/>
      <c r="G139" s="20"/>
      <c r="H139" s="18"/>
    </row>
    <row r="140" spans="2:9" ht="10.5" x14ac:dyDescent="0.25">
      <c r="B140" s="17" t="s">
        <v>105</v>
      </c>
      <c r="C140" s="18"/>
      <c r="D140" s="18"/>
      <c r="E140" s="18"/>
      <c r="F140" s="97">
        <v>0</v>
      </c>
      <c r="G140" s="97">
        <f>F140/F142*100</f>
        <v>0</v>
      </c>
      <c r="H140" s="18"/>
    </row>
    <row r="141" spans="2:9" ht="10.5" x14ac:dyDescent="0.25">
      <c r="B141" s="38" t="s">
        <v>106</v>
      </c>
      <c r="C141" s="38"/>
      <c r="D141" s="38"/>
      <c r="E141" s="38"/>
      <c r="F141" s="23">
        <f>F142-(F124+F131+F136+F138+F140)</f>
        <v>-999.03360760003125</v>
      </c>
      <c r="G141" s="24">
        <f>G142-(G124+G131+G136+G138+G140)</f>
        <v>-1.7892887778598094</v>
      </c>
      <c r="H141" s="17"/>
      <c r="I141" s="11"/>
    </row>
    <row r="142" spans="2:9" ht="10.5" x14ac:dyDescent="0.25">
      <c r="B142" s="34" t="s">
        <v>104</v>
      </c>
      <c r="C142" s="34"/>
      <c r="D142" s="34"/>
      <c r="E142" s="34"/>
      <c r="F142" s="35">
        <v>55834.118000499999</v>
      </c>
      <c r="G142" s="36">
        <v>100</v>
      </c>
      <c r="H142" s="37"/>
      <c r="I142" s="11"/>
    </row>
    <row r="144" spans="2:9" ht="10.5" x14ac:dyDescent="0.25">
      <c r="B144" s="11" t="s">
        <v>107</v>
      </c>
    </row>
    <row r="146" spans="2:7" ht="10.5" x14ac:dyDescent="0.25">
      <c r="B146" s="39" t="s">
        <v>4</v>
      </c>
      <c r="C146" s="39" t="s">
        <v>108</v>
      </c>
      <c r="D146" s="39" t="s">
        <v>109</v>
      </c>
      <c r="E146" s="39" t="s">
        <v>0</v>
      </c>
      <c r="F146" s="40" t="s">
        <v>110</v>
      </c>
      <c r="G146" s="41" t="s">
        <v>111</v>
      </c>
    </row>
    <row r="147" spans="2:7" x14ac:dyDescent="0.2">
      <c r="B147" s="42" t="s">
        <v>325</v>
      </c>
      <c r="C147" s="42" t="s">
        <v>113</v>
      </c>
      <c r="D147" s="42" t="s">
        <v>54</v>
      </c>
      <c r="E147" s="43">
        <v>-375</v>
      </c>
      <c r="F147" s="44">
        <v>-4.0361250000000002</v>
      </c>
      <c r="G147" s="45">
        <v>-7.2287790056321001E-3</v>
      </c>
    </row>
    <row r="148" spans="2:7" x14ac:dyDescent="0.2">
      <c r="B148" s="42" t="s">
        <v>326</v>
      </c>
      <c r="C148" s="42" t="s">
        <v>113</v>
      </c>
      <c r="D148" s="42" t="s">
        <v>39</v>
      </c>
      <c r="E148" s="43">
        <v>-6400</v>
      </c>
      <c r="F148" s="44">
        <v>-4.4851200000000002</v>
      </c>
      <c r="G148" s="45">
        <v>-8.0329378534462308E-3</v>
      </c>
    </row>
    <row r="149" spans="2:7" x14ac:dyDescent="0.2">
      <c r="B149" s="42" t="s">
        <v>327</v>
      </c>
      <c r="C149" s="42" t="s">
        <v>113</v>
      </c>
      <c r="D149" s="42" t="s">
        <v>18</v>
      </c>
      <c r="E149" s="43">
        <v>-200</v>
      </c>
      <c r="F149" s="44">
        <v>-4.8010000000000002</v>
      </c>
      <c r="G149" s="45">
        <v>-8.5986851264615808E-3</v>
      </c>
    </row>
    <row r="150" spans="2:7" x14ac:dyDescent="0.2">
      <c r="B150" s="42" t="s">
        <v>328</v>
      </c>
      <c r="C150" s="42" t="s">
        <v>113</v>
      </c>
      <c r="D150" s="42" t="s">
        <v>244</v>
      </c>
      <c r="E150" s="43">
        <v>-275</v>
      </c>
      <c r="F150" s="44">
        <v>-4.8949999999999996</v>
      </c>
      <c r="G150" s="45">
        <v>-8.7670409693875097E-3</v>
      </c>
    </row>
    <row r="151" spans="2:7" x14ac:dyDescent="0.2">
      <c r="B151" s="42" t="s">
        <v>329</v>
      </c>
      <c r="C151" s="42" t="s">
        <v>113</v>
      </c>
      <c r="D151" s="42" t="s">
        <v>299</v>
      </c>
      <c r="E151" s="43">
        <v>-12000</v>
      </c>
      <c r="F151" s="44">
        <v>-5.1588000000000003</v>
      </c>
      <c r="G151" s="45">
        <v>-9.2395119413434708E-3</v>
      </c>
    </row>
    <row r="152" spans="2:7" x14ac:dyDescent="0.2">
      <c r="B152" s="42" t="s">
        <v>330</v>
      </c>
      <c r="C152" s="42" t="s">
        <v>113</v>
      </c>
      <c r="D152" s="42" t="s">
        <v>82</v>
      </c>
      <c r="E152" s="43">
        <v>-6750</v>
      </c>
      <c r="F152" s="44">
        <v>-5.1961500000000003</v>
      </c>
      <c r="G152" s="45">
        <v>-9.3064065236124396E-3</v>
      </c>
    </row>
    <row r="153" spans="2:7" x14ac:dyDescent="0.2">
      <c r="B153" s="42" t="s">
        <v>118</v>
      </c>
      <c r="C153" s="42" t="s">
        <v>113</v>
      </c>
      <c r="D153" s="42" t="s">
        <v>10</v>
      </c>
      <c r="E153" s="43">
        <v>-50</v>
      </c>
      <c r="F153" s="44">
        <v>-5.4809999999999999</v>
      </c>
      <c r="G153" s="45">
        <v>-9.8165784582661692E-3</v>
      </c>
    </row>
    <row r="154" spans="2:7" x14ac:dyDescent="0.2">
      <c r="B154" s="42" t="s">
        <v>331</v>
      </c>
      <c r="C154" s="42" t="s">
        <v>113</v>
      </c>
      <c r="D154" s="42" t="s">
        <v>47</v>
      </c>
      <c r="E154" s="43">
        <v>-50</v>
      </c>
      <c r="F154" s="44">
        <v>-6.0209999999999999</v>
      </c>
      <c r="G154" s="45">
        <v>-1.07837290452875E-2</v>
      </c>
    </row>
    <row r="155" spans="2:7" x14ac:dyDescent="0.2">
      <c r="B155" s="42" t="s">
        <v>332</v>
      </c>
      <c r="C155" s="42" t="s">
        <v>113</v>
      </c>
      <c r="D155" s="42" t="s">
        <v>69</v>
      </c>
      <c r="E155" s="43">
        <v>-125</v>
      </c>
      <c r="F155" s="44">
        <v>-6.4643750000000004</v>
      </c>
      <c r="G155" s="45">
        <v>-1.15778223629182E-2</v>
      </c>
    </row>
    <row r="156" spans="2:7" x14ac:dyDescent="0.2">
      <c r="B156" s="42" t="s">
        <v>333</v>
      </c>
      <c r="C156" s="42" t="s">
        <v>113</v>
      </c>
      <c r="D156" s="42" t="s">
        <v>21</v>
      </c>
      <c r="E156" s="43">
        <v>-31100</v>
      </c>
      <c r="F156" s="44">
        <v>-6.5932000000000004</v>
      </c>
      <c r="G156" s="45">
        <v>-1.1808550463608901E-2</v>
      </c>
    </row>
    <row r="157" spans="2:7" x14ac:dyDescent="0.2">
      <c r="B157" s="42" t="s">
        <v>334</v>
      </c>
      <c r="C157" s="42" t="s">
        <v>113</v>
      </c>
      <c r="D157" s="42" t="s">
        <v>131</v>
      </c>
      <c r="E157" s="43">
        <v>-175</v>
      </c>
      <c r="F157" s="44">
        <v>-6.6093999999999999</v>
      </c>
      <c r="G157" s="45">
        <v>-1.18375649812196E-2</v>
      </c>
    </row>
    <row r="158" spans="2:7" x14ac:dyDescent="0.2">
      <c r="B158" s="42" t="s">
        <v>335</v>
      </c>
      <c r="C158" s="42" t="s">
        <v>113</v>
      </c>
      <c r="D158" s="42" t="s">
        <v>147</v>
      </c>
      <c r="E158" s="43">
        <v>-2425</v>
      </c>
      <c r="F158" s="44">
        <v>-7.7515124999999996</v>
      </c>
      <c r="G158" s="45">
        <v>-1.38831108605147E-2</v>
      </c>
    </row>
    <row r="159" spans="2:7" x14ac:dyDescent="0.2">
      <c r="B159" s="42" t="s">
        <v>112</v>
      </c>
      <c r="C159" s="42" t="s">
        <v>113</v>
      </c>
      <c r="D159" s="42" t="s">
        <v>17</v>
      </c>
      <c r="E159" s="43">
        <v>-675</v>
      </c>
      <c r="F159" s="44">
        <v>-8.5441500000000001</v>
      </c>
      <c r="G159" s="45">
        <v>-1.53027401631445E-2</v>
      </c>
    </row>
    <row r="160" spans="2:7" x14ac:dyDescent="0.2">
      <c r="B160" s="42" t="s">
        <v>336</v>
      </c>
      <c r="C160" s="42" t="s">
        <v>113</v>
      </c>
      <c r="D160" s="42" t="s">
        <v>14</v>
      </c>
      <c r="E160" s="43">
        <v>-650</v>
      </c>
      <c r="F160" s="44">
        <v>-10.228400000000001</v>
      </c>
      <c r="G160" s="45">
        <v>-1.8319264933867901E-2</v>
      </c>
    </row>
    <row r="161" spans="2:7" x14ac:dyDescent="0.2">
      <c r="B161" s="42" t="s">
        <v>337</v>
      </c>
      <c r="C161" s="42" t="s">
        <v>113</v>
      </c>
      <c r="D161" s="42" t="s">
        <v>299</v>
      </c>
      <c r="E161" s="43">
        <v>-24000</v>
      </c>
      <c r="F161" s="44">
        <v>-10.3344</v>
      </c>
      <c r="G161" s="45">
        <v>-1.8509113012060902E-2</v>
      </c>
    </row>
    <row r="162" spans="2:7" x14ac:dyDescent="0.2">
      <c r="B162" s="42" t="s">
        <v>338</v>
      </c>
      <c r="C162" s="42" t="s">
        <v>113</v>
      </c>
      <c r="D162" s="42" t="s">
        <v>160</v>
      </c>
      <c r="E162" s="43">
        <v>-2900</v>
      </c>
      <c r="F162" s="44">
        <v>-10.5067</v>
      </c>
      <c r="G162" s="45">
        <v>-1.8817705690104901E-2</v>
      </c>
    </row>
    <row r="163" spans="2:7" x14ac:dyDescent="0.2">
      <c r="B163" s="42" t="s">
        <v>339</v>
      </c>
      <c r="C163" s="42" t="s">
        <v>113</v>
      </c>
      <c r="D163" s="42" t="s">
        <v>89</v>
      </c>
      <c r="E163" s="43">
        <v>-1900</v>
      </c>
      <c r="F163" s="44">
        <v>-12.7338</v>
      </c>
      <c r="G163" s="45">
        <v>-2.28064854537256E-2</v>
      </c>
    </row>
    <row r="164" spans="2:7" x14ac:dyDescent="0.2">
      <c r="B164" s="42" t="s">
        <v>340</v>
      </c>
      <c r="C164" s="42" t="s">
        <v>113</v>
      </c>
      <c r="D164" s="42" t="s">
        <v>131</v>
      </c>
      <c r="E164" s="43">
        <v>-350</v>
      </c>
      <c r="F164" s="44">
        <v>-13.171200000000001</v>
      </c>
      <c r="G164" s="45">
        <v>-2.3589877429212799E-2</v>
      </c>
    </row>
    <row r="165" spans="2:7" x14ac:dyDescent="0.2">
      <c r="B165" s="42" t="s">
        <v>341</v>
      </c>
      <c r="C165" s="42" t="s">
        <v>113</v>
      </c>
      <c r="D165" s="42" t="s">
        <v>89</v>
      </c>
      <c r="E165" s="43">
        <v>-700</v>
      </c>
      <c r="F165" s="44">
        <v>-13.661899999999999</v>
      </c>
      <c r="G165" s="45">
        <v>-2.44687307496783E-2</v>
      </c>
    </row>
    <row r="166" spans="2:7" x14ac:dyDescent="0.2">
      <c r="B166" s="42" t="s">
        <v>342</v>
      </c>
      <c r="C166" s="42" t="s">
        <v>113</v>
      </c>
      <c r="D166" s="42" t="s">
        <v>21</v>
      </c>
      <c r="E166" s="43">
        <v>-5850</v>
      </c>
      <c r="F166" s="44">
        <v>-13.680809999999999</v>
      </c>
      <c r="G166" s="45">
        <v>-2.4502598930420099E-2</v>
      </c>
    </row>
    <row r="167" spans="2:7" x14ac:dyDescent="0.2">
      <c r="B167" s="42" t="s">
        <v>343</v>
      </c>
      <c r="C167" s="42" t="s">
        <v>113</v>
      </c>
      <c r="D167" s="42" t="s">
        <v>57</v>
      </c>
      <c r="E167" s="43">
        <v>-1500</v>
      </c>
      <c r="F167" s="44">
        <v>-14.557499999999999</v>
      </c>
      <c r="G167" s="45">
        <v>-2.6072767908449201E-2</v>
      </c>
    </row>
    <row r="168" spans="2:7" x14ac:dyDescent="0.2">
      <c r="B168" s="42" t="s">
        <v>344</v>
      </c>
      <c r="C168" s="42" t="s">
        <v>113</v>
      </c>
      <c r="D168" s="42" t="s">
        <v>39</v>
      </c>
      <c r="E168" s="43">
        <v>-38100</v>
      </c>
      <c r="F168" s="44">
        <v>-15.076169999999999</v>
      </c>
      <c r="G168" s="45">
        <v>-2.70017160472831E-2</v>
      </c>
    </row>
    <row r="169" spans="2:7" x14ac:dyDescent="0.2">
      <c r="B169" s="42" t="s">
        <v>345</v>
      </c>
      <c r="C169" s="42" t="s">
        <v>113</v>
      </c>
      <c r="D169" s="42" t="s">
        <v>39</v>
      </c>
      <c r="E169" s="43">
        <v>-50</v>
      </c>
      <c r="F169" s="44">
        <v>-15.315</v>
      </c>
      <c r="G169" s="45">
        <v>-2.74294652596874E-2</v>
      </c>
    </row>
    <row r="170" spans="2:7" x14ac:dyDescent="0.2">
      <c r="B170" s="42" t="s">
        <v>346</v>
      </c>
      <c r="C170" s="42" t="s">
        <v>113</v>
      </c>
      <c r="D170" s="42" t="s">
        <v>61</v>
      </c>
      <c r="E170" s="43">
        <v>-1650</v>
      </c>
      <c r="F170" s="44">
        <v>-15.8004</v>
      </c>
      <c r="G170" s="45">
        <v>-2.82988261762432E-2</v>
      </c>
    </row>
    <row r="171" spans="2:7" x14ac:dyDescent="0.2">
      <c r="B171" s="42" t="s">
        <v>347</v>
      </c>
      <c r="C171" s="42" t="s">
        <v>113</v>
      </c>
      <c r="D171" s="42" t="s">
        <v>57</v>
      </c>
      <c r="E171" s="43">
        <v>-3000</v>
      </c>
      <c r="F171" s="44">
        <v>-16.159500000000001</v>
      </c>
      <c r="G171" s="45">
        <v>-2.8941981316612301E-2</v>
      </c>
    </row>
    <row r="172" spans="2:7" x14ac:dyDescent="0.2">
      <c r="B172" s="42" t="s">
        <v>348</v>
      </c>
      <c r="C172" s="42" t="s">
        <v>113</v>
      </c>
      <c r="D172" s="42" t="s">
        <v>47</v>
      </c>
      <c r="E172" s="43">
        <v>-150</v>
      </c>
      <c r="F172" s="44">
        <v>-16.471499999999999</v>
      </c>
      <c r="G172" s="45">
        <v>-2.9500779433558E-2</v>
      </c>
    </row>
    <row r="173" spans="2:7" x14ac:dyDescent="0.2">
      <c r="B173" s="42" t="s">
        <v>349</v>
      </c>
      <c r="C173" s="42" t="s">
        <v>113</v>
      </c>
      <c r="D173" s="42" t="s">
        <v>69</v>
      </c>
      <c r="E173" s="43">
        <v>-375</v>
      </c>
      <c r="F173" s="44">
        <v>-18.196874999999999</v>
      </c>
      <c r="G173" s="45">
        <v>-3.2590959885561398E-2</v>
      </c>
    </row>
    <row r="174" spans="2:7" x14ac:dyDescent="0.2">
      <c r="B174" s="42" t="s">
        <v>350</v>
      </c>
      <c r="C174" s="42" t="s">
        <v>113</v>
      </c>
      <c r="D174" s="42" t="s">
        <v>66</v>
      </c>
      <c r="E174" s="43">
        <v>-17400</v>
      </c>
      <c r="F174" s="44">
        <v>-18.694559999999999</v>
      </c>
      <c r="G174" s="45">
        <v>-3.3482323477971997E-2</v>
      </c>
    </row>
    <row r="175" spans="2:7" x14ac:dyDescent="0.2">
      <c r="B175" s="42" t="s">
        <v>351</v>
      </c>
      <c r="C175" s="42" t="s">
        <v>113</v>
      </c>
      <c r="D175" s="42" t="s">
        <v>182</v>
      </c>
      <c r="E175" s="43">
        <v>-4200</v>
      </c>
      <c r="F175" s="44">
        <v>-18.885300000000001</v>
      </c>
      <c r="G175" s="45">
        <v>-3.3823942557543202E-2</v>
      </c>
    </row>
    <row r="176" spans="2:7" x14ac:dyDescent="0.2">
      <c r="B176" s="42" t="s">
        <v>352</v>
      </c>
      <c r="C176" s="42" t="s">
        <v>113</v>
      </c>
      <c r="D176" s="42" t="s">
        <v>18</v>
      </c>
      <c r="E176" s="43">
        <v>-12300</v>
      </c>
      <c r="F176" s="44">
        <v>-20.119109999999999</v>
      </c>
      <c r="G176" s="45">
        <v>-3.6033720457122297E-2</v>
      </c>
    </row>
    <row r="177" spans="2:7" x14ac:dyDescent="0.2">
      <c r="B177" s="42" t="s">
        <v>353</v>
      </c>
      <c r="C177" s="42" t="s">
        <v>113</v>
      </c>
      <c r="D177" s="42" t="s">
        <v>47</v>
      </c>
      <c r="E177" s="43">
        <v>-800</v>
      </c>
      <c r="F177" s="44">
        <v>-23.748799999999999</v>
      </c>
      <c r="G177" s="45">
        <v>-4.25345664093544E-2</v>
      </c>
    </row>
    <row r="178" spans="2:7" x14ac:dyDescent="0.2">
      <c r="B178" s="42" t="s">
        <v>354</v>
      </c>
      <c r="C178" s="42" t="s">
        <v>113</v>
      </c>
      <c r="D178" s="42" t="s">
        <v>48</v>
      </c>
      <c r="E178" s="43">
        <v>-1100</v>
      </c>
      <c r="F178" s="44">
        <v>-23.887599999999999</v>
      </c>
      <c r="G178" s="45">
        <v>-4.2783159930610999E-2</v>
      </c>
    </row>
    <row r="179" spans="2:7" x14ac:dyDescent="0.2">
      <c r="B179" s="42" t="s">
        <v>355</v>
      </c>
      <c r="C179" s="42" t="s">
        <v>113</v>
      </c>
      <c r="D179" s="42" t="s">
        <v>47</v>
      </c>
      <c r="E179" s="43">
        <v>-225</v>
      </c>
      <c r="F179" s="44">
        <v>-24.56775</v>
      </c>
      <c r="G179" s="45">
        <v>-4.4001321915356502E-2</v>
      </c>
    </row>
    <row r="180" spans="2:7" x14ac:dyDescent="0.2">
      <c r="B180" s="42" t="s">
        <v>356</v>
      </c>
      <c r="C180" s="42" t="s">
        <v>113</v>
      </c>
      <c r="D180" s="42" t="s">
        <v>48</v>
      </c>
      <c r="E180" s="43">
        <v>-1425</v>
      </c>
      <c r="F180" s="44">
        <v>-25.275224999999999</v>
      </c>
      <c r="G180" s="45">
        <v>-4.5268423510824801E-2</v>
      </c>
    </row>
    <row r="181" spans="2:7" x14ac:dyDescent="0.2">
      <c r="B181" s="42" t="s">
        <v>357</v>
      </c>
      <c r="C181" s="42" t="s">
        <v>113</v>
      </c>
      <c r="D181" s="42" t="s">
        <v>21</v>
      </c>
      <c r="E181" s="43">
        <v>-6350</v>
      </c>
      <c r="F181" s="44">
        <v>-25.904824999999999</v>
      </c>
      <c r="G181" s="45">
        <v>-4.6396049454507399E-2</v>
      </c>
    </row>
    <row r="182" spans="2:7" x14ac:dyDescent="0.2">
      <c r="B182" s="42" t="s">
        <v>358</v>
      </c>
      <c r="C182" s="42" t="s">
        <v>113</v>
      </c>
      <c r="D182" s="42" t="s">
        <v>66</v>
      </c>
      <c r="E182" s="43">
        <v>-1200</v>
      </c>
      <c r="F182" s="44">
        <v>-27.713999999999999</v>
      </c>
      <c r="G182" s="45">
        <v>-4.9636317349459697E-2</v>
      </c>
    </row>
    <row r="183" spans="2:7" x14ac:dyDescent="0.2">
      <c r="B183" s="42" t="s">
        <v>359</v>
      </c>
      <c r="C183" s="42" t="s">
        <v>113</v>
      </c>
      <c r="D183" s="42" t="s">
        <v>69</v>
      </c>
      <c r="E183" s="43">
        <v>-7500</v>
      </c>
      <c r="F183" s="44">
        <v>-28.061250000000001</v>
      </c>
      <c r="G183" s="45">
        <v>-5.0258248907502599E-2</v>
      </c>
    </row>
    <row r="184" spans="2:7" x14ac:dyDescent="0.2">
      <c r="B184" s="42" t="s">
        <v>360</v>
      </c>
      <c r="C184" s="42" t="s">
        <v>113</v>
      </c>
      <c r="D184" s="42" t="s">
        <v>14</v>
      </c>
      <c r="E184" s="43">
        <v>-5500</v>
      </c>
      <c r="F184" s="44">
        <v>-28.569749999999999</v>
      </c>
      <c r="G184" s="45">
        <v>-5.1168982376947697E-2</v>
      </c>
    </row>
    <row r="185" spans="2:7" x14ac:dyDescent="0.2">
      <c r="B185" s="42" t="s">
        <v>361</v>
      </c>
      <c r="C185" s="42" t="s">
        <v>113</v>
      </c>
      <c r="D185" s="42" t="s">
        <v>160</v>
      </c>
      <c r="E185" s="43">
        <v>-14200</v>
      </c>
      <c r="F185" s="44">
        <v>-29.10858</v>
      </c>
      <c r="G185" s="45">
        <v>-5.2134037471030403E-2</v>
      </c>
    </row>
    <row r="186" spans="2:7" x14ac:dyDescent="0.2">
      <c r="B186" s="42" t="s">
        <v>362</v>
      </c>
      <c r="C186" s="42" t="s">
        <v>113</v>
      </c>
      <c r="D186" s="42" t="s">
        <v>44</v>
      </c>
      <c r="E186" s="43">
        <v>-5420</v>
      </c>
      <c r="F186" s="44">
        <v>-29.224640000000001</v>
      </c>
      <c r="G186" s="45">
        <v>-5.2341903206455799E-2</v>
      </c>
    </row>
    <row r="187" spans="2:7" x14ac:dyDescent="0.2">
      <c r="B187" s="42" t="s">
        <v>363</v>
      </c>
      <c r="C187" s="42" t="s">
        <v>113</v>
      </c>
      <c r="D187" s="42" t="s">
        <v>74</v>
      </c>
      <c r="E187" s="43">
        <v>-3875</v>
      </c>
      <c r="F187" s="44">
        <v>-29.632124999999998</v>
      </c>
      <c r="G187" s="45">
        <v>-5.3071716830441602E-2</v>
      </c>
    </row>
    <row r="188" spans="2:7" x14ac:dyDescent="0.2">
      <c r="B188" s="42" t="s">
        <v>364</v>
      </c>
      <c r="C188" s="42" t="s">
        <v>113</v>
      </c>
      <c r="D188" s="42" t="s">
        <v>172</v>
      </c>
      <c r="E188" s="43">
        <v>-600</v>
      </c>
      <c r="F188" s="44">
        <v>-29.885999999999999</v>
      </c>
      <c r="G188" s="45">
        <v>-5.3526411932812101E-2</v>
      </c>
    </row>
    <row r="189" spans="2:7" x14ac:dyDescent="0.2">
      <c r="B189" s="42" t="s">
        <v>365</v>
      </c>
      <c r="C189" s="42" t="s">
        <v>113</v>
      </c>
      <c r="D189" s="42" t="s">
        <v>57</v>
      </c>
      <c r="E189" s="43">
        <v>-11250</v>
      </c>
      <c r="F189" s="44">
        <v>-30.031874999999999</v>
      </c>
      <c r="G189" s="45">
        <v>-5.37876769177782E-2</v>
      </c>
    </row>
    <row r="190" spans="2:7" x14ac:dyDescent="0.2">
      <c r="B190" s="42" t="s">
        <v>366</v>
      </c>
      <c r="C190" s="42" t="s">
        <v>113</v>
      </c>
      <c r="D190" s="42" t="s">
        <v>57</v>
      </c>
      <c r="E190" s="43">
        <v>-1875</v>
      </c>
      <c r="F190" s="44">
        <v>-30.395624999999999</v>
      </c>
      <c r="G190" s="45">
        <v>-5.4439160299313401E-2</v>
      </c>
    </row>
    <row r="191" spans="2:7" x14ac:dyDescent="0.2">
      <c r="B191" s="42" t="s">
        <v>367</v>
      </c>
      <c r="C191" s="42" t="s">
        <v>113</v>
      </c>
      <c r="D191" s="42" t="s">
        <v>195</v>
      </c>
      <c r="E191" s="43">
        <v>-17750</v>
      </c>
      <c r="F191" s="44">
        <v>-30.576149999999998</v>
      </c>
      <c r="G191" s="45">
        <v>-5.4762484113613501E-2</v>
      </c>
    </row>
    <row r="192" spans="2:7" x14ac:dyDescent="0.2">
      <c r="B192" s="42" t="s">
        <v>368</v>
      </c>
      <c r="C192" s="42" t="s">
        <v>113</v>
      </c>
      <c r="D192" s="42" t="s">
        <v>21</v>
      </c>
      <c r="E192" s="43">
        <v>-2500</v>
      </c>
      <c r="F192" s="44">
        <v>-30.855</v>
      </c>
      <c r="G192" s="45">
        <v>-5.5261909930633603E-2</v>
      </c>
    </row>
    <row r="193" spans="2:7" x14ac:dyDescent="0.2">
      <c r="B193" s="42" t="s">
        <v>369</v>
      </c>
      <c r="C193" s="42" t="s">
        <v>113</v>
      </c>
      <c r="D193" s="42" t="s">
        <v>57</v>
      </c>
      <c r="E193" s="43">
        <v>-1800</v>
      </c>
      <c r="F193" s="44">
        <v>-31.208400000000001</v>
      </c>
      <c r="G193" s="45">
        <v>-5.5894856259250898E-2</v>
      </c>
    </row>
    <row r="194" spans="2:7" x14ac:dyDescent="0.2">
      <c r="B194" s="42" t="s">
        <v>114</v>
      </c>
      <c r="C194" s="42" t="s">
        <v>113</v>
      </c>
      <c r="D194" s="42" t="s">
        <v>47</v>
      </c>
      <c r="E194" s="43">
        <v>-11200</v>
      </c>
      <c r="F194" s="44">
        <v>-31.7576</v>
      </c>
      <c r="G194" s="45">
        <v>-5.6878484226643697E-2</v>
      </c>
    </row>
    <row r="195" spans="2:7" x14ac:dyDescent="0.2">
      <c r="B195" s="42" t="s">
        <v>370</v>
      </c>
      <c r="C195" s="42" t="s">
        <v>113</v>
      </c>
      <c r="D195" s="42" t="s">
        <v>39</v>
      </c>
      <c r="E195" s="43">
        <v>-750</v>
      </c>
      <c r="F195" s="44">
        <v>-31.818750000000001</v>
      </c>
      <c r="G195" s="45">
        <v>-5.6988005075525802E-2</v>
      </c>
    </row>
    <row r="196" spans="2:7" x14ac:dyDescent="0.2">
      <c r="B196" s="42" t="s">
        <v>371</v>
      </c>
      <c r="C196" s="42" t="s">
        <v>113</v>
      </c>
      <c r="D196" s="42" t="s">
        <v>17</v>
      </c>
      <c r="E196" s="43">
        <v>-18800</v>
      </c>
      <c r="F196" s="44">
        <v>-33.43956</v>
      </c>
      <c r="G196" s="45">
        <v>-5.9890907562470203E-2</v>
      </c>
    </row>
    <row r="197" spans="2:7" x14ac:dyDescent="0.2">
      <c r="B197" s="42" t="s">
        <v>372</v>
      </c>
      <c r="C197" s="42" t="s">
        <v>113</v>
      </c>
      <c r="D197" s="42" t="s">
        <v>147</v>
      </c>
      <c r="E197" s="43">
        <v>-2750</v>
      </c>
      <c r="F197" s="44">
        <v>-33.569249999999997</v>
      </c>
      <c r="G197" s="45">
        <v>-6.0123184895119801E-2</v>
      </c>
    </row>
    <row r="198" spans="2:7" x14ac:dyDescent="0.2">
      <c r="B198" s="42" t="s">
        <v>373</v>
      </c>
      <c r="C198" s="42" t="s">
        <v>113</v>
      </c>
      <c r="D198" s="42" t="s">
        <v>47</v>
      </c>
      <c r="E198" s="43">
        <v>-750</v>
      </c>
      <c r="F198" s="44">
        <v>-39.6</v>
      </c>
      <c r="G198" s="45">
        <v>-7.0924376381561793E-2</v>
      </c>
    </row>
    <row r="199" spans="2:7" x14ac:dyDescent="0.2">
      <c r="B199" s="42" t="s">
        <v>374</v>
      </c>
      <c r="C199" s="42" t="s">
        <v>113</v>
      </c>
      <c r="D199" s="42" t="s">
        <v>26</v>
      </c>
      <c r="E199" s="43">
        <v>-12150</v>
      </c>
      <c r="F199" s="44">
        <v>-42.944175000000001</v>
      </c>
      <c r="G199" s="45">
        <v>-7.6913859371102497E-2</v>
      </c>
    </row>
    <row r="200" spans="2:7" x14ac:dyDescent="0.2">
      <c r="B200" s="42" t="s">
        <v>375</v>
      </c>
      <c r="C200" s="42" t="s">
        <v>113</v>
      </c>
      <c r="D200" s="42" t="s">
        <v>21</v>
      </c>
      <c r="E200" s="43">
        <v>-4500</v>
      </c>
      <c r="F200" s="44">
        <v>-43.749000000000002</v>
      </c>
      <c r="G200" s="45">
        <v>-7.8355316725175497E-2</v>
      </c>
    </row>
    <row r="201" spans="2:7" x14ac:dyDescent="0.2">
      <c r="B201" s="42" t="s">
        <v>376</v>
      </c>
      <c r="C201" s="42" t="s">
        <v>113</v>
      </c>
      <c r="D201" s="42" t="s">
        <v>21</v>
      </c>
      <c r="E201" s="43">
        <v>-26550</v>
      </c>
      <c r="F201" s="44">
        <v>-45.642105000000001</v>
      </c>
      <c r="G201" s="45">
        <v>-8.1745904895625401E-2</v>
      </c>
    </row>
    <row r="202" spans="2:7" x14ac:dyDescent="0.2">
      <c r="B202" s="42" t="s">
        <v>377</v>
      </c>
      <c r="C202" s="42" t="s">
        <v>113</v>
      </c>
      <c r="D202" s="42" t="s">
        <v>69</v>
      </c>
      <c r="E202" s="43">
        <v>-12500</v>
      </c>
      <c r="F202" s="44">
        <v>-46.993749999999999</v>
      </c>
      <c r="G202" s="45">
        <v>-8.4166727590429896E-2</v>
      </c>
    </row>
    <row r="203" spans="2:7" x14ac:dyDescent="0.2">
      <c r="B203" s="42" t="s">
        <v>378</v>
      </c>
      <c r="C203" s="42" t="s">
        <v>113</v>
      </c>
      <c r="D203" s="42" t="s">
        <v>54</v>
      </c>
      <c r="E203" s="43">
        <v>-2000</v>
      </c>
      <c r="F203" s="44">
        <v>-48.091999999999999</v>
      </c>
      <c r="G203" s="45">
        <v>-8.61337148722746E-2</v>
      </c>
    </row>
    <row r="204" spans="2:7" x14ac:dyDescent="0.2">
      <c r="B204" s="42" t="s">
        <v>379</v>
      </c>
      <c r="C204" s="42" t="s">
        <v>113</v>
      </c>
      <c r="D204" s="42" t="s">
        <v>57</v>
      </c>
      <c r="E204" s="43">
        <v>-9000</v>
      </c>
      <c r="F204" s="44">
        <v>-48.298499999999997</v>
      </c>
      <c r="G204" s="45">
        <v>-8.6503560420829906E-2</v>
      </c>
    </row>
    <row r="205" spans="2:7" x14ac:dyDescent="0.2">
      <c r="B205" s="42" t="s">
        <v>117</v>
      </c>
      <c r="C205" s="42" t="s">
        <v>113</v>
      </c>
      <c r="D205" s="42" t="s">
        <v>57</v>
      </c>
      <c r="E205" s="43">
        <v>-450</v>
      </c>
      <c r="F205" s="44">
        <v>-48.762</v>
      </c>
      <c r="G205" s="45">
        <v>-8.7333698008023194E-2</v>
      </c>
    </row>
    <row r="206" spans="2:7" x14ac:dyDescent="0.2">
      <c r="B206" s="42" t="s">
        <v>380</v>
      </c>
      <c r="C206" s="42" t="s">
        <v>113</v>
      </c>
      <c r="D206" s="42" t="s">
        <v>92</v>
      </c>
      <c r="E206" s="43">
        <v>-11475</v>
      </c>
      <c r="F206" s="44">
        <v>-49.887562500000001</v>
      </c>
      <c r="G206" s="45">
        <v>-8.9349602512845697E-2</v>
      </c>
    </row>
    <row r="207" spans="2:7" x14ac:dyDescent="0.2">
      <c r="B207" s="42" t="s">
        <v>381</v>
      </c>
      <c r="C207" s="42" t="s">
        <v>113</v>
      </c>
      <c r="D207" s="42" t="s">
        <v>163</v>
      </c>
      <c r="E207" s="43">
        <v>-12825</v>
      </c>
      <c r="F207" s="44">
        <v>-50.113687499999997</v>
      </c>
      <c r="G207" s="45">
        <v>-8.9754596821160895E-2</v>
      </c>
    </row>
    <row r="208" spans="2:7" x14ac:dyDescent="0.2">
      <c r="B208" s="42" t="s">
        <v>382</v>
      </c>
      <c r="C208" s="42" t="s">
        <v>113</v>
      </c>
      <c r="D208" s="42" t="s">
        <v>66</v>
      </c>
      <c r="E208" s="43">
        <v>-7425</v>
      </c>
      <c r="F208" s="44">
        <v>-50.2561125</v>
      </c>
      <c r="G208" s="45">
        <v>-9.0009682788487796E-2</v>
      </c>
    </row>
    <row r="209" spans="2:7" x14ac:dyDescent="0.2">
      <c r="B209" s="42" t="s">
        <v>383</v>
      </c>
      <c r="C209" s="42" t="s">
        <v>113</v>
      </c>
      <c r="D209" s="42" t="s">
        <v>21</v>
      </c>
      <c r="E209" s="43">
        <v>-5000</v>
      </c>
      <c r="F209" s="44">
        <v>-50.58</v>
      </c>
      <c r="G209" s="45">
        <v>-9.0589771650994896E-2</v>
      </c>
    </row>
    <row r="210" spans="2:7" x14ac:dyDescent="0.2">
      <c r="B210" s="42" t="s">
        <v>384</v>
      </c>
      <c r="C210" s="42" t="s">
        <v>113</v>
      </c>
      <c r="D210" s="42" t="s">
        <v>79</v>
      </c>
      <c r="E210" s="43">
        <v>-13600</v>
      </c>
      <c r="F210" s="44">
        <v>-50.898000000000003</v>
      </c>
      <c r="G210" s="45">
        <v>-9.1159315885574105E-2</v>
      </c>
    </row>
    <row r="211" spans="2:7" x14ac:dyDescent="0.2">
      <c r="B211" s="42" t="s">
        <v>385</v>
      </c>
      <c r="C211" s="42" t="s">
        <v>113</v>
      </c>
      <c r="D211" s="42" t="s">
        <v>160</v>
      </c>
      <c r="E211" s="43">
        <v>-14500</v>
      </c>
      <c r="F211" s="44">
        <v>-52.207250000000002</v>
      </c>
      <c r="G211" s="45">
        <v>-9.3504208304199393E-2</v>
      </c>
    </row>
    <row r="212" spans="2:7" x14ac:dyDescent="0.2">
      <c r="B212" s="42" t="s">
        <v>386</v>
      </c>
      <c r="C212" s="42" t="s">
        <v>113</v>
      </c>
      <c r="D212" s="42" t="s">
        <v>66</v>
      </c>
      <c r="E212" s="43">
        <v>-1575</v>
      </c>
      <c r="F212" s="44">
        <v>-52.787700000000001</v>
      </c>
      <c r="G212" s="45">
        <v>-9.4543805634266995E-2</v>
      </c>
    </row>
    <row r="213" spans="2:7" x14ac:dyDescent="0.2">
      <c r="B213" s="42" t="s">
        <v>387</v>
      </c>
      <c r="C213" s="42" t="s">
        <v>113</v>
      </c>
      <c r="D213" s="42" t="s">
        <v>69</v>
      </c>
      <c r="E213" s="43">
        <v>-3300</v>
      </c>
      <c r="F213" s="44">
        <v>-55.337699999999998</v>
      </c>
      <c r="G213" s="45">
        <v>-9.9110905628534196E-2</v>
      </c>
    </row>
    <row r="214" spans="2:7" x14ac:dyDescent="0.2">
      <c r="B214" s="42" t="s">
        <v>388</v>
      </c>
      <c r="C214" s="42" t="s">
        <v>113</v>
      </c>
      <c r="D214" s="42" t="s">
        <v>21</v>
      </c>
      <c r="E214" s="43">
        <v>-56000</v>
      </c>
      <c r="F214" s="44">
        <v>-63.711199999999998</v>
      </c>
      <c r="G214" s="45">
        <v>-0.114108008295984</v>
      </c>
    </row>
    <row r="215" spans="2:7" x14ac:dyDescent="0.2">
      <c r="B215" s="42" t="s">
        <v>389</v>
      </c>
      <c r="C215" s="42" t="s">
        <v>113</v>
      </c>
      <c r="D215" s="42" t="s">
        <v>21</v>
      </c>
      <c r="E215" s="43">
        <v>-20000</v>
      </c>
      <c r="F215" s="44">
        <v>-64.42</v>
      </c>
      <c r="G215" s="45">
        <v>-0.11537748299243</v>
      </c>
    </row>
    <row r="216" spans="2:7" x14ac:dyDescent="0.2">
      <c r="B216" s="42" t="s">
        <v>390</v>
      </c>
      <c r="C216" s="42" t="s">
        <v>113</v>
      </c>
      <c r="D216" s="42" t="s">
        <v>57</v>
      </c>
      <c r="E216" s="43">
        <v>-11200</v>
      </c>
      <c r="F216" s="44">
        <v>-65.251199999999997</v>
      </c>
      <c r="G216" s="45">
        <v>-0.11686617848859999</v>
      </c>
    </row>
    <row r="217" spans="2:7" x14ac:dyDescent="0.2">
      <c r="B217" s="42" t="s">
        <v>391</v>
      </c>
      <c r="C217" s="42" t="s">
        <v>113</v>
      </c>
      <c r="D217" s="42" t="s">
        <v>39</v>
      </c>
      <c r="E217" s="43">
        <v>-15750</v>
      </c>
      <c r="F217" s="44">
        <v>-65.441249999999997</v>
      </c>
      <c r="G217" s="45">
        <v>-0.117206561764644</v>
      </c>
    </row>
    <row r="218" spans="2:7" x14ac:dyDescent="0.2">
      <c r="B218" s="42" t="s">
        <v>392</v>
      </c>
      <c r="C218" s="42" t="s">
        <v>113</v>
      </c>
      <c r="D218" s="42" t="s">
        <v>79</v>
      </c>
      <c r="E218" s="43">
        <v>-500325</v>
      </c>
      <c r="F218" s="44">
        <v>-65.6926725</v>
      </c>
      <c r="G218" s="45">
        <v>-0.117656864391431</v>
      </c>
    </row>
    <row r="219" spans="2:7" x14ac:dyDescent="0.2">
      <c r="B219" s="42" t="s">
        <v>393</v>
      </c>
      <c r="C219" s="42" t="s">
        <v>113</v>
      </c>
      <c r="D219" s="42" t="s">
        <v>144</v>
      </c>
      <c r="E219" s="43">
        <v>-3600</v>
      </c>
      <c r="F219" s="44">
        <v>-67.680000000000007</v>
      </c>
      <c r="G219" s="45">
        <v>-0.121216206906669</v>
      </c>
    </row>
    <row r="220" spans="2:7" x14ac:dyDescent="0.2">
      <c r="B220" s="42" t="s">
        <v>394</v>
      </c>
      <c r="C220" s="42" t="s">
        <v>113</v>
      </c>
      <c r="D220" s="42" t="s">
        <v>26</v>
      </c>
      <c r="E220" s="43">
        <v>-53625</v>
      </c>
      <c r="F220" s="44">
        <v>-71.921850000000006</v>
      </c>
      <c r="G220" s="45">
        <v>-0.128813443420662</v>
      </c>
    </row>
    <row r="221" spans="2:7" x14ac:dyDescent="0.2">
      <c r="B221" s="42" t="s">
        <v>395</v>
      </c>
      <c r="C221" s="42" t="s">
        <v>113</v>
      </c>
      <c r="D221" s="42" t="s">
        <v>48</v>
      </c>
      <c r="E221" s="43">
        <v>-4800</v>
      </c>
      <c r="F221" s="44">
        <v>-73.603200000000001</v>
      </c>
      <c r="G221" s="45">
        <v>-0.13182477423453001</v>
      </c>
    </row>
    <row r="222" spans="2:7" x14ac:dyDescent="0.2">
      <c r="B222" s="42" t="s">
        <v>396</v>
      </c>
      <c r="C222" s="42" t="s">
        <v>113</v>
      </c>
      <c r="D222" s="42" t="s">
        <v>61</v>
      </c>
      <c r="E222" s="43">
        <v>-9600</v>
      </c>
      <c r="F222" s="44">
        <v>-76.204800000000006</v>
      </c>
      <c r="G222" s="45">
        <v>-0.136484290840446</v>
      </c>
    </row>
    <row r="223" spans="2:7" x14ac:dyDescent="0.2">
      <c r="B223" s="42" t="s">
        <v>397</v>
      </c>
      <c r="C223" s="42" t="s">
        <v>113</v>
      </c>
      <c r="D223" s="42" t="s">
        <v>57</v>
      </c>
      <c r="E223" s="43">
        <v>-35250</v>
      </c>
      <c r="F223" s="44">
        <v>-76.450199999999995</v>
      </c>
      <c r="G223" s="45">
        <v>-0.13692380705165899</v>
      </c>
    </row>
    <row r="224" spans="2:7" x14ac:dyDescent="0.2">
      <c r="B224" s="42" t="s">
        <v>398</v>
      </c>
      <c r="C224" s="42" t="s">
        <v>113</v>
      </c>
      <c r="D224" s="42" t="s">
        <v>172</v>
      </c>
      <c r="E224" s="43">
        <v>-18675</v>
      </c>
      <c r="F224" s="44">
        <v>-76.744912499999998</v>
      </c>
      <c r="G224" s="45">
        <v>-0.13745164291717199</v>
      </c>
    </row>
    <row r="225" spans="2:7" x14ac:dyDescent="0.2">
      <c r="B225" s="42" t="s">
        <v>399</v>
      </c>
      <c r="C225" s="42" t="s">
        <v>113</v>
      </c>
      <c r="D225" s="42" t="s">
        <v>160</v>
      </c>
      <c r="E225" s="43">
        <v>-30400</v>
      </c>
      <c r="F225" s="44">
        <v>-78.933599999999998</v>
      </c>
      <c r="G225" s="45">
        <v>-0.141371625140193</v>
      </c>
    </row>
    <row r="226" spans="2:7" x14ac:dyDescent="0.2">
      <c r="B226" s="42" t="s">
        <v>400</v>
      </c>
      <c r="C226" s="42" t="s">
        <v>113</v>
      </c>
      <c r="D226" s="42" t="s">
        <v>160</v>
      </c>
      <c r="E226" s="43">
        <v>-16125</v>
      </c>
      <c r="F226" s="44">
        <v>-79.407562499999997</v>
      </c>
      <c r="G226" s="45">
        <v>-0.14222050127001001</v>
      </c>
    </row>
    <row r="227" spans="2:7" x14ac:dyDescent="0.2">
      <c r="B227" s="42" t="s">
        <v>401</v>
      </c>
      <c r="C227" s="42" t="s">
        <v>113</v>
      </c>
      <c r="D227" s="42" t="s">
        <v>160</v>
      </c>
      <c r="E227" s="43">
        <v>-25500</v>
      </c>
      <c r="F227" s="44">
        <v>-81.906000000000006</v>
      </c>
      <c r="G227" s="45">
        <v>-0.14669525181586399</v>
      </c>
    </row>
    <row r="228" spans="2:7" x14ac:dyDescent="0.2">
      <c r="B228" s="42" t="s">
        <v>402</v>
      </c>
      <c r="C228" s="42" t="s">
        <v>113</v>
      </c>
      <c r="D228" s="42" t="s">
        <v>57</v>
      </c>
      <c r="E228" s="43">
        <v>-21700</v>
      </c>
      <c r="F228" s="44">
        <v>-83.111000000000004</v>
      </c>
      <c r="G228" s="45">
        <v>-0.148853430440606</v>
      </c>
    </row>
    <row r="229" spans="2:7" x14ac:dyDescent="0.2">
      <c r="B229" s="42" t="s">
        <v>403</v>
      </c>
      <c r="C229" s="42" t="s">
        <v>113</v>
      </c>
      <c r="D229" s="42" t="s">
        <v>21</v>
      </c>
      <c r="E229" s="43">
        <v>-111300</v>
      </c>
      <c r="F229" s="44">
        <v>-90.809669999999997</v>
      </c>
      <c r="G229" s="45">
        <v>-0.162641899347612</v>
      </c>
    </row>
    <row r="230" spans="2:7" x14ac:dyDescent="0.2">
      <c r="B230" s="42" t="s">
        <v>404</v>
      </c>
      <c r="C230" s="42" t="s">
        <v>113</v>
      </c>
      <c r="D230" s="42" t="s">
        <v>92</v>
      </c>
      <c r="E230" s="43">
        <v>-2100</v>
      </c>
      <c r="F230" s="44">
        <v>-92.614199999999997</v>
      </c>
      <c r="G230" s="45">
        <v>-0.16587384795649601</v>
      </c>
    </row>
    <row r="231" spans="2:7" x14ac:dyDescent="0.2">
      <c r="B231" s="42" t="s">
        <v>124</v>
      </c>
      <c r="C231" s="42" t="s">
        <v>113</v>
      </c>
      <c r="D231" s="42" t="s">
        <v>11</v>
      </c>
      <c r="E231" s="43">
        <v>-14000</v>
      </c>
      <c r="F231" s="44">
        <v>-102.837</v>
      </c>
      <c r="G231" s="45">
        <v>-0.184183083180573</v>
      </c>
    </row>
    <row r="232" spans="2:7" x14ac:dyDescent="0.2">
      <c r="B232" s="42" t="s">
        <v>405</v>
      </c>
      <c r="C232" s="42" t="s">
        <v>113</v>
      </c>
      <c r="D232" s="42" t="s">
        <v>54</v>
      </c>
      <c r="E232" s="43">
        <v>-2275</v>
      </c>
      <c r="F232" s="44">
        <v>-105.27562500000001</v>
      </c>
      <c r="G232" s="45">
        <v>-0.188550708366267</v>
      </c>
    </row>
    <row r="233" spans="2:7" x14ac:dyDescent="0.2">
      <c r="B233" s="42" t="s">
        <v>406</v>
      </c>
      <c r="C233" s="42" t="s">
        <v>113</v>
      </c>
      <c r="D233" s="42" t="s">
        <v>182</v>
      </c>
      <c r="E233" s="43">
        <v>-51750</v>
      </c>
      <c r="F233" s="44">
        <v>-116.691075</v>
      </c>
      <c r="G233" s="45">
        <v>-0.20899600312295599</v>
      </c>
    </row>
    <row r="234" spans="2:7" x14ac:dyDescent="0.2">
      <c r="B234" s="42" t="s">
        <v>407</v>
      </c>
      <c r="C234" s="42" t="s">
        <v>113</v>
      </c>
      <c r="D234" s="42" t="s">
        <v>163</v>
      </c>
      <c r="E234" s="43">
        <v>-2550</v>
      </c>
      <c r="F234" s="44">
        <v>-119.952</v>
      </c>
      <c r="G234" s="45">
        <v>-0.21483638373033101</v>
      </c>
    </row>
    <row r="235" spans="2:7" x14ac:dyDescent="0.2">
      <c r="B235" s="42" t="s">
        <v>408</v>
      </c>
      <c r="C235" s="42" t="s">
        <v>113</v>
      </c>
      <c r="D235" s="42" t="s">
        <v>21</v>
      </c>
      <c r="E235" s="43">
        <v>-17550</v>
      </c>
      <c r="F235" s="44">
        <v>-126.1494</v>
      </c>
      <c r="G235" s="45">
        <v>-0.22593604863404501</v>
      </c>
    </row>
    <row r="236" spans="2:7" x14ac:dyDescent="0.2">
      <c r="B236" s="42" t="s">
        <v>409</v>
      </c>
      <c r="C236" s="42" t="s">
        <v>113</v>
      </c>
      <c r="D236" s="42" t="s">
        <v>200</v>
      </c>
      <c r="E236" s="43">
        <v>-90000</v>
      </c>
      <c r="F236" s="44">
        <v>-139.91399999999999</v>
      </c>
      <c r="G236" s="45">
        <v>-0.25058871709721797</v>
      </c>
    </row>
    <row r="237" spans="2:7" x14ac:dyDescent="0.2">
      <c r="B237" s="42" t="s">
        <v>410</v>
      </c>
      <c r="C237" s="42" t="s">
        <v>113</v>
      </c>
      <c r="D237" s="42" t="s">
        <v>47</v>
      </c>
      <c r="E237" s="43">
        <v>-1200</v>
      </c>
      <c r="F237" s="44">
        <v>-143.77199999999999</v>
      </c>
      <c r="G237" s="45">
        <v>-0.257498470735604</v>
      </c>
    </row>
    <row r="238" spans="2:7" x14ac:dyDescent="0.2">
      <c r="B238" s="42" t="s">
        <v>411</v>
      </c>
      <c r="C238" s="42" t="s">
        <v>113</v>
      </c>
      <c r="D238" s="42" t="s">
        <v>69</v>
      </c>
      <c r="E238" s="43">
        <v>-7225</v>
      </c>
      <c r="F238" s="44">
        <v>-147.89574999999999</v>
      </c>
      <c r="G238" s="45">
        <v>-0.264884187834176</v>
      </c>
    </row>
    <row r="239" spans="2:7" x14ac:dyDescent="0.2">
      <c r="B239" s="42" t="s">
        <v>412</v>
      </c>
      <c r="C239" s="42" t="s">
        <v>113</v>
      </c>
      <c r="D239" s="42" t="s">
        <v>21</v>
      </c>
      <c r="E239" s="43">
        <v>-36000</v>
      </c>
      <c r="F239" s="44">
        <v>-150.084</v>
      </c>
      <c r="G239" s="45">
        <v>-0.26880338648611901</v>
      </c>
    </row>
    <row r="240" spans="2:7" x14ac:dyDescent="0.2">
      <c r="B240" s="42" t="s">
        <v>413</v>
      </c>
      <c r="C240" s="42" t="s">
        <v>113</v>
      </c>
      <c r="D240" s="42" t="s">
        <v>17</v>
      </c>
      <c r="E240" s="43">
        <v>-82500</v>
      </c>
      <c r="F240" s="44">
        <v>-154.53075000000001</v>
      </c>
      <c r="G240" s="45">
        <v>-0.27676760291729902</v>
      </c>
    </row>
    <row r="241" spans="2:7" x14ac:dyDescent="0.2">
      <c r="B241" s="42" t="s">
        <v>414</v>
      </c>
      <c r="C241" s="42" t="s">
        <v>113</v>
      </c>
      <c r="D241" s="42" t="s">
        <v>163</v>
      </c>
      <c r="E241" s="43">
        <v>-39900</v>
      </c>
      <c r="F241" s="44">
        <v>-155.11125000000001</v>
      </c>
      <c r="G241" s="45">
        <v>-0.27780728979834701</v>
      </c>
    </row>
    <row r="242" spans="2:7" x14ac:dyDescent="0.2">
      <c r="B242" s="42" t="s">
        <v>415</v>
      </c>
      <c r="C242" s="42" t="s">
        <v>113</v>
      </c>
      <c r="D242" s="42" t="s">
        <v>58</v>
      </c>
      <c r="E242" s="43">
        <v>-46875</v>
      </c>
      <c r="F242" s="44">
        <v>-161.25</v>
      </c>
      <c r="G242" s="45">
        <v>-0.28880191140219302</v>
      </c>
    </row>
    <row r="243" spans="2:7" x14ac:dyDescent="0.2">
      <c r="B243" s="42" t="s">
        <v>416</v>
      </c>
      <c r="C243" s="42" t="s">
        <v>113</v>
      </c>
      <c r="D243" s="42" t="s">
        <v>48</v>
      </c>
      <c r="E243" s="43">
        <v>-7875</v>
      </c>
      <c r="F243" s="44">
        <v>-161.84700000000001</v>
      </c>
      <c r="G243" s="45">
        <v>-0.28987115010673298</v>
      </c>
    </row>
    <row r="244" spans="2:7" x14ac:dyDescent="0.2">
      <c r="B244" s="42" t="s">
        <v>417</v>
      </c>
      <c r="C244" s="42" t="s">
        <v>113</v>
      </c>
      <c r="D244" s="42" t="s">
        <v>47</v>
      </c>
      <c r="E244" s="43">
        <v>-5600</v>
      </c>
      <c r="F244" s="44">
        <v>-165.28399999999999</v>
      </c>
      <c r="G244" s="45">
        <v>-0.29602688449116299</v>
      </c>
    </row>
    <row r="245" spans="2:7" x14ac:dyDescent="0.2">
      <c r="B245" s="42" t="s">
        <v>418</v>
      </c>
      <c r="C245" s="42" t="s">
        <v>113</v>
      </c>
      <c r="D245" s="42" t="s">
        <v>54</v>
      </c>
      <c r="E245" s="43">
        <v>-33250</v>
      </c>
      <c r="F245" s="44">
        <v>-166.831875</v>
      </c>
      <c r="G245" s="45">
        <v>-0.29879915896317399</v>
      </c>
    </row>
    <row r="246" spans="2:7" x14ac:dyDescent="0.2">
      <c r="B246" s="42" t="s">
        <v>419</v>
      </c>
      <c r="C246" s="42" t="s">
        <v>113</v>
      </c>
      <c r="D246" s="42" t="s">
        <v>172</v>
      </c>
      <c r="E246" s="43">
        <v>-41500</v>
      </c>
      <c r="F246" s="44">
        <v>-169.79724999999999</v>
      </c>
      <c r="G246" s="45">
        <v>-0.30411020372611502</v>
      </c>
    </row>
    <row r="247" spans="2:7" x14ac:dyDescent="0.2">
      <c r="B247" s="42" t="s">
        <v>420</v>
      </c>
      <c r="C247" s="42" t="s">
        <v>113</v>
      </c>
      <c r="D247" s="42" t="s">
        <v>54</v>
      </c>
      <c r="E247" s="43">
        <v>-31050</v>
      </c>
      <c r="F247" s="44">
        <v>-172.74667500000001</v>
      </c>
      <c r="G247" s="45">
        <v>-0.30939268172634699</v>
      </c>
    </row>
    <row r="248" spans="2:7" x14ac:dyDescent="0.2">
      <c r="B248" s="42" t="s">
        <v>421</v>
      </c>
      <c r="C248" s="42" t="s">
        <v>113</v>
      </c>
      <c r="D248" s="42" t="s">
        <v>69</v>
      </c>
      <c r="E248" s="43">
        <v>-9450</v>
      </c>
      <c r="F248" s="44">
        <v>-173.11455000000001</v>
      </c>
      <c r="G248" s="45">
        <v>-0.31005155306375498</v>
      </c>
    </row>
    <row r="249" spans="2:7" x14ac:dyDescent="0.2">
      <c r="B249" s="42" t="s">
        <v>422</v>
      </c>
      <c r="C249" s="42" t="s">
        <v>113</v>
      </c>
      <c r="D249" s="42" t="s">
        <v>147</v>
      </c>
      <c r="E249" s="43">
        <v>-69350</v>
      </c>
      <c r="F249" s="44">
        <v>-174.83134999999999</v>
      </c>
      <c r="G249" s="45">
        <v>-0.313126375522641</v>
      </c>
    </row>
    <row r="250" spans="2:7" x14ac:dyDescent="0.2">
      <c r="B250" s="42" t="s">
        <v>423</v>
      </c>
      <c r="C250" s="42" t="s">
        <v>113</v>
      </c>
      <c r="D250" s="42" t="s">
        <v>201</v>
      </c>
      <c r="E250" s="43">
        <v>-8400</v>
      </c>
      <c r="F250" s="44">
        <v>-185.1696</v>
      </c>
      <c r="G250" s="45">
        <v>-0.33164238396018297</v>
      </c>
    </row>
    <row r="251" spans="2:7" x14ac:dyDescent="0.2">
      <c r="B251" s="42" t="s">
        <v>424</v>
      </c>
      <c r="C251" s="42" t="s">
        <v>113</v>
      </c>
      <c r="D251" s="42" t="s">
        <v>172</v>
      </c>
      <c r="E251" s="43">
        <v>-42500</v>
      </c>
      <c r="F251" s="44">
        <v>-191.86625000000001</v>
      </c>
      <c r="G251" s="45">
        <v>-0.34363621540199102</v>
      </c>
    </row>
    <row r="252" spans="2:7" x14ac:dyDescent="0.2">
      <c r="B252" s="42" t="s">
        <v>425</v>
      </c>
      <c r="C252" s="42" t="s">
        <v>113</v>
      </c>
      <c r="D252" s="42" t="s">
        <v>66</v>
      </c>
      <c r="E252" s="43">
        <v>-6200</v>
      </c>
      <c r="F252" s="44">
        <v>-192.73320000000001</v>
      </c>
      <c r="G252" s="45">
        <v>-0.34518893984906202</v>
      </c>
    </row>
    <row r="253" spans="2:7" x14ac:dyDescent="0.2">
      <c r="B253" s="42" t="s">
        <v>426</v>
      </c>
      <c r="C253" s="42" t="s">
        <v>113</v>
      </c>
      <c r="D253" s="42" t="s">
        <v>57</v>
      </c>
      <c r="E253" s="43">
        <v>-21750</v>
      </c>
      <c r="F253" s="44">
        <v>-210.0615</v>
      </c>
      <c r="G253" s="45">
        <v>-0.37622426488069299</v>
      </c>
    </row>
    <row r="254" spans="2:7" x14ac:dyDescent="0.2">
      <c r="B254" s="42" t="s">
        <v>427</v>
      </c>
      <c r="C254" s="42" t="s">
        <v>113</v>
      </c>
      <c r="D254" s="42" t="s">
        <v>224</v>
      </c>
      <c r="E254" s="43">
        <v>-9000</v>
      </c>
      <c r="F254" s="44">
        <v>-223.47</v>
      </c>
      <c r="G254" s="45">
        <v>-0.40023915126231402</v>
      </c>
    </row>
    <row r="255" spans="2:7" x14ac:dyDescent="0.2">
      <c r="B255" s="42" t="s">
        <v>428</v>
      </c>
      <c r="C255" s="42" t="s">
        <v>113</v>
      </c>
      <c r="D255" s="42" t="s">
        <v>69</v>
      </c>
      <c r="E255" s="43">
        <v>-2400</v>
      </c>
      <c r="F255" s="44">
        <v>-224.06399999999999</v>
      </c>
      <c r="G255" s="45">
        <v>-0.40130301690803699</v>
      </c>
    </row>
    <row r="256" spans="2:7" x14ac:dyDescent="0.2">
      <c r="B256" s="42" t="s">
        <v>429</v>
      </c>
      <c r="C256" s="42" t="s">
        <v>113</v>
      </c>
      <c r="D256" s="42" t="s">
        <v>58</v>
      </c>
      <c r="E256" s="43">
        <v>-24500</v>
      </c>
      <c r="F256" s="44">
        <v>-232.70099999999999</v>
      </c>
      <c r="G256" s="45">
        <v>-0.41677205324156102</v>
      </c>
    </row>
    <row r="257" spans="2:7" x14ac:dyDescent="0.2">
      <c r="B257" s="42" t="s">
        <v>430</v>
      </c>
      <c r="C257" s="42" t="s">
        <v>113</v>
      </c>
      <c r="D257" s="42" t="s">
        <v>201</v>
      </c>
      <c r="E257" s="43">
        <v>-17425</v>
      </c>
      <c r="F257" s="44">
        <v>-239.053575</v>
      </c>
      <c r="G257" s="45">
        <v>-0.42814963961257402</v>
      </c>
    </row>
    <row r="258" spans="2:7" x14ac:dyDescent="0.2">
      <c r="B258" s="42" t="s">
        <v>431</v>
      </c>
      <c r="C258" s="42" t="s">
        <v>113</v>
      </c>
      <c r="D258" s="42" t="s">
        <v>21</v>
      </c>
      <c r="E258" s="43">
        <v>-315350</v>
      </c>
      <c r="F258" s="44">
        <v>-258.52393000000001</v>
      </c>
      <c r="G258" s="45">
        <v>-0.46302142714546801</v>
      </c>
    </row>
    <row r="259" spans="2:7" x14ac:dyDescent="0.2">
      <c r="B259" s="42" t="s">
        <v>432</v>
      </c>
      <c r="C259" s="42" t="s">
        <v>113</v>
      </c>
      <c r="D259" s="42" t="s">
        <v>21</v>
      </c>
      <c r="E259" s="43">
        <v>-216000</v>
      </c>
      <c r="F259" s="44">
        <v>-261.55439999999999</v>
      </c>
      <c r="G259" s="45">
        <v>-0.46844905832963601</v>
      </c>
    </row>
    <row r="260" spans="2:7" x14ac:dyDescent="0.2">
      <c r="B260" s="42" t="s">
        <v>433</v>
      </c>
      <c r="C260" s="42" t="s">
        <v>113</v>
      </c>
      <c r="D260" s="42" t="s">
        <v>66</v>
      </c>
      <c r="E260" s="43">
        <v>-8550</v>
      </c>
      <c r="F260" s="44">
        <v>-285.24509999999998</v>
      </c>
      <c r="G260" s="45">
        <v>-0.51087956649990496</v>
      </c>
    </row>
    <row r="261" spans="2:7" x14ac:dyDescent="0.2">
      <c r="B261" s="42" t="s">
        <v>434</v>
      </c>
      <c r="C261" s="42" t="s">
        <v>113</v>
      </c>
      <c r="D261" s="42" t="s">
        <v>14</v>
      </c>
      <c r="E261" s="43">
        <v>-71400</v>
      </c>
      <c r="F261" s="44">
        <v>-286.92090000000002</v>
      </c>
      <c r="G261" s="45">
        <v>-0.51388095715496096</v>
      </c>
    </row>
    <row r="262" spans="2:7" x14ac:dyDescent="0.2">
      <c r="B262" s="42" t="s">
        <v>435</v>
      </c>
      <c r="C262" s="42" t="s">
        <v>113</v>
      </c>
      <c r="D262" s="42" t="s">
        <v>51</v>
      </c>
      <c r="E262" s="43">
        <v>-67500</v>
      </c>
      <c r="F262" s="44">
        <v>-287.61750000000001</v>
      </c>
      <c r="G262" s="45">
        <v>-0.51512858141221896</v>
      </c>
    </row>
    <row r="263" spans="2:7" x14ac:dyDescent="0.2">
      <c r="B263" s="42" t="s">
        <v>436</v>
      </c>
      <c r="C263" s="42" t="s">
        <v>113</v>
      </c>
      <c r="D263" s="42" t="s">
        <v>54</v>
      </c>
      <c r="E263" s="43">
        <v>-59850</v>
      </c>
      <c r="F263" s="44">
        <v>-298.77120000000002</v>
      </c>
      <c r="G263" s="45">
        <v>-0.53510507678714403</v>
      </c>
    </row>
    <row r="264" spans="2:7" x14ac:dyDescent="0.2">
      <c r="B264" s="42" t="s">
        <v>437</v>
      </c>
      <c r="C264" s="42" t="s">
        <v>113</v>
      </c>
      <c r="D264" s="42" t="s">
        <v>144</v>
      </c>
      <c r="E264" s="43">
        <v>-113850</v>
      </c>
      <c r="F264" s="44">
        <v>-300.05167499999999</v>
      </c>
      <c r="G264" s="45">
        <v>-0.53739843261661802</v>
      </c>
    </row>
    <row r="265" spans="2:7" x14ac:dyDescent="0.2">
      <c r="B265" s="42" t="s">
        <v>121</v>
      </c>
      <c r="C265" s="42" t="s">
        <v>113</v>
      </c>
      <c r="D265" s="42" t="s">
        <v>79</v>
      </c>
      <c r="E265" s="43">
        <v>-17100</v>
      </c>
      <c r="F265" s="44">
        <v>-302.08859999999999</v>
      </c>
      <c r="G265" s="45">
        <v>-0.54104660522674497</v>
      </c>
    </row>
    <row r="266" spans="2:7" x14ac:dyDescent="0.2">
      <c r="B266" s="42" t="s">
        <v>438</v>
      </c>
      <c r="C266" s="42" t="s">
        <v>113</v>
      </c>
      <c r="D266" s="42" t="s">
        <v>54</v>
      </c>
      <c r="E266" s="43">
        <v>-159100</v>
      </c>
      <c r="F266" s="44">
        <v>-335.71690999999998</v>
      </c>
      <c r="G266" s="45">
        <v>-0.60127556773977098</v>
      </c>
    </row>
    <row r="267" spans="2:7" x14ac:dyDescent="0.2">
      <c r="B267" s="42" t="s">
        <v>439</v>
      </c>
      <c r="C267" s="42" t="s">
        <v>113</v>
      </c>
      <c r="D267" s="42" t="s">
        <v>57</v>
      </c>
      <c r="E267" s="43">
        <v>-109200</v>
      </c>
      <c r="F267" s="44">
        <v>-358.77659999999997</v>
      </c>
      <c r="G267" s="45">
        <v>-0.64257592462871405</v>
      </c>
    </row>
    <row r="268" spans="2:7" x14ac:dyDescent="0.2">
      <c r="B268" s="42" t="s">
        <v>440</v>
      </c>
      <c r="C268" s="42" t="s">
        <v>113</v>
      </c>
      <c r="D268" s="42" t="s">
        <v>57</v>
      </c>
      <c r="E268" s="43">
        <v>-114000</v>
      </c>
      <c r="F268" s="44">
        <v>-362.976</v>
      </c>
      <c r="G268" s="45">
        <v>-0.65009713236044897</v>
      </c>
    </row>
    <row r="269" spans="2:7" x14ac:dyDescent="0.2">
      <c r="B269" s="42" t="s">
        <v>441</v>
      </c>
      <c r="C269" s="42" t="s">
        <v>113</v>
      </c>
      <c r="D269" s="42" t="s">
        <v>48</v>
      </c>
      <c r="E269" s="43">
        <v>-30000</v>
      </c>
      <c r="F269" s="44">
        <v>-367.38</v>
      </c>
      <c r="G269" s="45">
        <v>-0.65798478270349003</v>
      </c>
    </row>
    <row r="270" spans="2:7" x14ac:dyDescent="0.2">
      <c r="B270" s="42" t="s">
        <v>442</v>
      </c>
      <c r="C270" s="42" t="s">
        <v>113</v>
      </c>
      <c r="D270" s="42" t="s">
        <v>69</v>
      </c>
      <c r="E270" s="43">
        <v>-8000</v>
      </c>
      <c r="F270" s="44">
        <v>-386.56</v>
      </c>
      <c r="G270" s="45">
        <v>-0.69233653873880197</v>
      </c>
    </row>
    <row r="271" spans="2:7" x14ac:dyDescent="0.2">
      <c r="B271" s="42" t="s">
        <v>443</v>
      </c>
      <c r="C271" s="42" t="s">
        <v>113</v>
      </c>
      <c r="D271" s="42" t="s">
        <v>21</v>
      </c>
      <c r="E271" s="43">
        <v>-43400</v>
      </c>
      <c r="F271" s="44">
        <v>-391.38119999999998</v>
      </c>
      <c r="G271" s="45">
        <v>-0.70097140246129597</v>
      </c>
    </row>
    <row r="272" spans="2:7" x14ac:dyDescent="0.2">
      <c r="B272" s="42" t="s">
        <v>444</v>
      </c>
      <c r="C272" s="42" t="s">
        <v>113</v>
      </c>
      <c r="D272" s="42" t="s">
        <v>89</v>
      </c>
      <c r="E272" s="43">
        <v>-24050</v>
      </c>
      <c r="F272" s="44">
        <v>-395.09339999999997</v>
      </c>
      <c r="G272" s="45">
        <v>-0.70762002544118596</v>
      </c>
    </row>
    <row r="273" spans="2:7" x14ac:dyDescent="0.2">
      <c r="B273" s="42" t="s">
        <v>445</v>
      </c>
      <c r="C273" s="42" t="s">
        <v>113</v>
      </c>
      <c r="D273" s="42" t="s">
        <v>201</v>
      </c>
      <c r="E273" s="43">
        <v>-8400</v>
      </c>
      <c r="F273" s="44">
        <v>-403.03199999999998</v>
      </c>
      <c r="G273" s="45">
        <v>-0.72183821368216305</v>
      </c>
    </row>
    <row r="274" spans="2:7" x14ac:dyDescent="0.2">
      <c r="B274" s="42" t="s">
        <v>446</v>
      </c>
      <c r="C274" s="42" t="s">
        <v>113</v>
      </c>
      <c r="D274" s="42" t="s">
        <v>201</v>
      </c>
      <c r="E274" s="43">
        <v>-9625</v>
      </c>
      <c r="F274" s="44">
        <v>-429.66</v>
      </c>
      <c r="G274" s="45">
        <v>-0.76952948373994601</v>
      </c>
    </row>
    <row r="275" spans="2:7" x14ac:dyDescent="0.2">
      <c r="B275" s="42" t="s">
        <v>115</v>
      </c>
      <c r="C275" s="42" t="s">
        <v>113</v>
      </c>
      <c r="D275" s="42" t="s">
        <v>92</v>
      </c>
      <c r="E275" s="43">
        <v>-108375</v>
      </c>
      <c r="F275" s="44">
        <v>-468.45093750000001</v>
      </c>
      <c r="G275" s="45">
        <v>-0.83900481332185595</v>
      </c>
    </row>
    <row r="276" spans="2:7" x14ac:dyDescent="0.2">
      <c r="B276" s="42" t="s">
        <v>447</v>
      </c>
      <c r="C276" s="42" t="s">
        <v>113</v>
      </c>
      <c r="D276" s="42" t="s">
        <v>48</v>
      </c>
      <c r="E276" s="43">
        <v>-48800</v>
      </c>
      <c r="F276" s="44">
        <v>-489.2688</v>
      </c>
      <c r="G276" s="45">
        <v>-0.87629001320593702</v>
      </c>
    </row>
    <row r="277" spans="2:7" x14ac:dyDescent="0.2">
      <c r="B277" s="42" t="s">
        <v>448</v>
      </c>
      <c r="C277" s="42" t="s">
        <v>113</v>
      </c>
      <c r="D277" s="42" t="s">
        <v>147</v>
      </c>
      <c r="E277" s="43">
        <v>-195275</v>
      </c>
      <c r="F277" s="44">
        <v>-490.43316249999998</v>
      </c>
      <c r="G277" s="45">
        <v>-0.87837540927145696</v>
      </c>
    </row>
    <row r="278" spans="2:7" x14ac:dyDescent="0.2">
      <c r="B278" s="42" t="s">
        <v>120</v>
      </c>
      <c r="C278" s="42" t="s">
        <v>113</v>
      </c>
      <c r="D278" s="42" t="s">
        <v>82</v>
      </c>
      <c r="E278" s="43">
        <v>-675000</v>
      </c>
      <c r="F278" s="44">
        <v>-516.17250000000001</v>
      </c>
      <c r="G278" s="45">
        <v>-0.92447506736898299</v>
      </c>
    </row>
    <row r="279" spans="2:7" x14ac:dyDescent="0.2">
      <c r="B279" s="42" t="s">
        <v>449</v>
      </c>
      <c r="C279" s="42" t="s">
        <v>113</v>
      </c>
      <c r="D279" s="42" t="s">
        <v>160</v>
      </c>
      <c r="E279" s="43">
        <v>-259150</v>
      </c>
      <c r="F279" s="44">
        <v>-528.92515000000003</v>
      </c>
      <c r="G279" s="45">
        <v>-0.94731531354227405</v>
      </c>
    </row>
    <row r="280" spans="2:7" x14ac:dyDescent="0.2">
      <c r="B280" s="42" t="s">
        <v>450</v>
      </c>
      <c r="C280" s="42" t="s">
        <v>113</v>
      </c>
      <c r="D280" s="42" t="s">
        <v>21</v>
      </c>
      <c r="E280" s="43">
        <v>-172500</v>
      </c>
      <c r="F280" s="44">
        <v>-552.51750000000004</v>
      </c>
      <c r="G280" s="45">
        <v>-0.98956967493433301</v>
      </c>
    </row>
    <row r="281" spans="2:7" x14ac:dyDescent="0.2">
      <c r="B281" s="42" t="s">
        <v>451</v>
      </c>
      <c r="C281" s="42" t="s">
        <v>113</v>
      </c>
      <c r="D281" s="42" t="s">
        <v>54</v>
      </c>
      <c r="E281" s="43">
        <v>-288100</v>
      </c>
      <c r="F281" s="44">
        <v>-606.53692999999998</v>
      </c>
      <c r="G281" s="45">
        <v>-1.0863195331474</v>
      </c>
    </row>
    <row r="282" spans="2:7" x14ac:dyDescent="0.2">
      <c r="B282" s="42" t="s">
        <v>452</v>
      </c>
      <c r="C282" s="42" t="s">
        <v>113</v>
      </c>
      <c r="D282" s="42" t="s">
        <v>144</v>
      </c>
      <c r="E282" s="43">
        <v>-231150</v>
      </c>
      <c r="F282" s="44">
        <v>-612.66307500000005</v>
      </c>
      <c r="G282" s="45">
        <v>-1.09729157894912</v>
      </c>
    </row>
    <row r="283" spans="2:7" x14ac:dyDescent="0.2">
      <c r="B283" s="42" t="s">
        <v>453</v>
      </c>
      <c r="C283" s="42" t="s">
        <v>113</v>
      </c>
      <c r="D283" s="42" t="s">
        <v>21</v>
      </c>
      <c r="E283" s="43">
        <v>-53125</v>
      </c>
      <c r="F283" s="44">
        <v>-652.26874999999995</v>
      </c>
      <c r="G283" s="45">
        <v>-1.1682261193669401</v>
      </c>
    </row>
    <row r="284" spans="2:7" x14ac:dyDescent="0.2">
      <c r="B284" s="42" t="s">
        <v>454</v>
      </c>
      <c r="C284" s="42" t="s">
        <v>113</v>
      </c>
      <c r="D284" s="42" t="s">
        <v>21</v>
      </c>
      <c r="E284" s="43">
        <v>-289575</v>
      </c>
      <c r="F284" s="44">
        <v>-673.66728000000001</v>
      </c>
      <c r="G284" s="45">
        <v>-1.2065513061278501</v>
      </c>
    </row>
    <row r="285" spans="2:7" x14ac:dyDescent="0.2">
      <c r="B285" s="42" t="s">
        <v>455</v>
      </c>
      <c r="C285" s="42" t="s">
        <v>113</v>
      </c>
      <c r="D285" s="42" t="s">
        <v>21</v>
      </c>
      <c r="E285" s="43">
        <v>-53200</v>
      </c>
      <c r="F285" s="44">
        <v>-710.91160000000002</v>
      </c>
      <c r="G285" s="45">
        <v>-1.2732566134449099</v>
      </c>
    </row>
    <row r="286" spans="2:7" x14ac:dyDescent="0.2">
      <c r="B286" s="42" t="s">
        <v>456</v>
      </c>
      <c r="C286" s="42" t="s">
        <v>113</v>
      </c>
      <c r="D286" s="42" t="s">
        <v>26</v>
      </c>
      <c r="E286" s="43">
        <v>-66500</v>
      </c>
      <c r="F286" s="44">
        <v>-796.47050000000002</v>
      </c>
      <c r="G286" s="45">
        <v>-1.4264942807780501</v>
      </c>
    </row>
    <row r="287" spans="2:7" x14ac:dyDescent="0.2">
      <c r="B287" s="42" t="s">
        <v>119</v>
      </c>
      <c r="C287" s="42" t="s">
        <v>113</v>
      </c>
      <c r="D287" s="42" t="s">
        <v>17</v>
      </c>
      <c r="E287" s="43">
        <v>-445500</v>
      </c>
      <c r="F287" s="44">
        <v>-828.94185000000004</v>
      </c>
      <c r="G287" s="45">
        <v>-1.4846511052481901</v>
      </c>
    </row>
    <row r="288" spans="2:7" x14ac:dyDescent="0.2">
      <c r="B288" s="42" t="s">
        <v>457</v>
      </c>
      <c r="C288" s="42" t="s">
        <v>113</v>
      </c>
      <c r="D288" s="42" t="s">
        <v>177</v>
      </c>
      <c r="E288" s="43">
        <v>-30282</v>
      </c>
      <c r="F288" s="44">
        <v>-878.93505000000005</v>
      </c>
      <c r="G288" s="45">
        <v>-1.5741899065946201</v>
      </c>
    </row>
    <row r="289" spans="2:7" x14ac:dyDescent="0.2">
      <c r="B289" s="42" t="s">
        <v>458</v>
      </c>
      <c r="C289" s="42" t="s">
        <v>113</v>
      </c>
      <c r="D289" s="42" t="s">
        <v>79</v>
      </c>
      <c r="E289" s="43">
        <v>-8362575</v>
      </c>
      <c r="F289" s="44">
        <v>-1091.3160375</v>
      </c>
      <c r="G289" s="45">
        <v>-1.9545684190627399</v>
      </c>
    </row>
    <row r="290" spans="2:7" x14ac:dyDescent="0.2">
      <c r="B290" s="42" t="s">
        <v>459</v>
      </c>
      <c r="C290" s="42" t="s">
        <v>113</v>
      </c>
      <c r="D290" s="42" t="s">
        <v>21</v>
      </c>
      <c r="E290" s="43">
        <v>-120000</v>
      </c>
      <c r="F290" s="44">
        <v>-1160.6400000000001</v>
      </c>
      <c r="G290" s="45">
        <v>-2.0787289950377801</v>
      </c>
    </row>
    <row r="291" spans="2:7" x14ac:dyDescent="0.2">
      <c r="B291" s="42" t="s">
        <v>460</v>
      </c>
      <c r="C291" s="42" t="s">
        <v>113</v>
      </c>
      <c r="D291" s="42" t="s">
        <v>21</v>
      </c>
      <c r="E291" s="43">
        <v>-6406600</v>
      </c>
      <c r="F291" s="44">
        <v>-1351.7926</v>
      </c>
      <c r="G291" s="45">
        <v>-2.4210870492982299</v>
      </c>
    </row>
    <row r="292" spans="2:7" x14ac:dyDescent="0.2">
      <c r="B292" s="42" t="s">
        <v>461</v>
      </c>
      <c r="C292" s="42" t="s">
        <v>113</v>
      </c>
      <c r="D292" s="42" t="s">
        <v>79</v>
      </c>
      <c r="E292" s="43">
        <v>-13723200</v>
      </c>
      <c r="F292" s="44">
        <v>-1781.27136</v>
      </c>
      <c r="G292" s="45">
        <v>-3.1902919286448599</v>
      </c>
    </row>
    <row r="293" spans="2:7" x14ac:dyDescent="0.2">
      <c r="B293" s="42" t="s">
        <v>123</v>
      </c>
      <c r="C293" s="42" t="s">
        <v>113</v>
      </c>
      <c r="D293" s="42" t="s">
        <v>14</v>
      </c>
      <c r="E293" s="43">
        <v>-453600</v>
      </c>
      <c r="F293" s="44">
        <v>-1812.5856000000001</v>
      </c>
      <c r="G293" s="45">
        <v>-3.2463763464191699</v>
      </c>
    </row>
    <row r="294" spans="2:7" x14ac:dyDescent="0.2">
      <c r="B294" s="42" t="s">
        <v>462</v>
      </c>
      <c r="C294" s="42" t="s">
        <v>113</v>
      </c>
      <c r="D294" s="42" t="s">
        <v>21</v>
      </c>
      <c r="E294" s="43">
        <v>-2052000</v>
      </c>
      <c r="F294" s="44">
        <v>-2472.66</v>
      </c>
      <c r="G294" s="45">
        <v>-4.4285825379705201</v>
      </c>
    </row>
    <row r="295" spans="2:7" x14ac:dyDescent="0.2">
      <c r="B295" s="42" t="s">
        <v>122</v>
      </c>
      <c r="C295" s="42" t="s">
        <v>113</v>
      </c>
      <c r="D295" s="42" t="s">
        <v>26</v>
      </c>
      <c r="E295" s="43">
        <v>-238500</v>
      </c>
      <c r="F295" s="44">
        <v>-2842.4430000000002</v>
      </c>
      <c r="G295" s="45">
        <v>-5.0908711407862599</v>
      </c>
    </row>
    <row r="296" spans="2:7" x14ac:dyDescent="0.2">
      <c r="B296" s="42" t="s">
        <v>463</v>
      </c>
      <c r="C296" s="42" t="s">
        <v>113</v>
      </c>
      <c r="D296" s="42" t="s">
        <v>21</v>
      </c>
      <c r="E296" s="43">
        <v>-248500</v>
      </c>
      <c r="F296" s="44">
        <v>-3302.5650000000001</v>
      </c>
      <c r="G296" s="45">
        <v>-5.9149586637518397</v>
      </c>
    </row>
    <row r="297" spans="2:7" x14ac:dyDescent="0.2">
      <c r="B297" s="42" t="s">
        <v>116</v>
      </c>
      <c r="C297" s="42" t="s">
        <v>113</v>
      </c>
      <c r="D297" s="42" t="s">
        <v>21</v>
      </c>
      <c r="E297" s="43">
        <v>-531700</v>
      </c>
      <c r="F297" s="44">
        <v>-3804.57935</v>
      </c>
      <c r="G297" s="45">
        <v>-6.8140762068918699</v>
      </c>
    </row>
    <row r="298" spans="2:7" ht="10.5" x14ac:dyDescent="0.25">
      <c r="B298" s="39"/>
      <c r="C298" s="39"/>
      <c r="D298" s="39"/>
      <c r="E298" s="39"/>
      <c r="F298" s="40">
        <f>SUM(F147:F297)</f>
        <v>-41633.315694999998</v>
      </c>
      <c r="G298" s="41">
        <f>SUM(G147:G297)</f>
        <v>-74.566084655670863</v>
      </c>
    </row>
    <row r="300" spans="2:7" ht="10.5" x14ac:dyDescent="0.25">
      <c r="B300" s="11" t="s">
        <v>126</v>
      </c>
    </row>
    <row r="302" spans="2:7" ht="10.5" x14ac:dyDescent="0.25">
      <c r="B302" s="11" t="s">
        <v>127</v>
      </c>
    </row>
    <row r="303" spans="2:7" ht="10.5" x14ac:dyDescent="0.25">
      <c r="B303" s="11"/>
    </row>
    <row r="304" spans="2:7" x14ac:dyDescent="0.2">
      <c r="B304" s="51" t="s">
        <v>467</v>
      </c>
    </row>
    <row r="305" spans="2:6" x14ac:dyDescent="0.2">
      <c r="B305" s="51" t="s">
        <v>473</v>
      </c>
    </row>
    <row r="306" spans="2:6" x14ac:dyDescent="0.2">
      <c r="B306" s="51" t="s">
        <v>474</v>
      </c>
    </row>
    <row r="307" spans="2:6" ht="10.5" x14ac:dyDescent="0.2">
      <c r="B307" s="48"/>
    </row>
    <row r="308" spans="2:6" ht="10.5" x14ac:dyDescent="0.2">
      <c r="B308" s="52" t="s">
        <v>468</v>
      </c>
      <c r="C308" s="83" t="s">
        <v>472</v>
      </c>
      <c r="D308" s="53" t="s">
        <v>469</v>
      </c>
    </row>
    <row r="309" spans="2:6" x14ac:dyDescent="0.2">
      <c r="B309" s="54" t="s">
        <v>470</v>
      </c>
      <c r="C309" s="81">
        <v>10.479100000000001</v>
      </c>
      <c r="D309" s="56">
        <v>10.5388</v>
      </c>
    </row>
    <row r="310" spans="2:6" x14ac:dyDescent="0.2">
      <c r="B310" s="54" t="s">
        <v>471</v>
      </c>
      <c r="C310" s="82">
        <v>9.9910999999999994</v>
      </c>
      <c r="D310" s="56">
        <v>10.042</v>
      </c>
    </row>
    <row r="311" spans="2:6" ht="10.5" x14ac:dyDescent="0.2">
      <c r="B311" s="48"/>
    </row>
    <row r="312" spans="2:6" x14ac:dyDescent="0.2">
      <c r="B312" s="51" t="s">
        <v>509</v>
      </c>
    </row>
    <row r="313" spans="2:6" x14ac:dyDescent="0.2">
      <c r="B313" s="51"/>
    </row>
    <row r="314" spans="2:6" ht="10.5" x14ac:dyDescent="0.2">
      <c r="B314" s="57" t="s">
        <v>498</v>
      </c>
    </row>
    <row r="315" spans="2:6" x14ac:dyDescent="0.2">
      <c r="B315" s="58"/>
    </row>
    <row r="316" spans="2:6" x14ac:dyDescent="0.2">
      <c r="B316" s="63" t="s">
        <v>511</v>
      </c>
      <c r="C316" s="62"/>
      <c r="D316" s="62"/>
      <c r="E316" s="62"/>
      <c r="F316" s="62"/>
    </row>
    <row r="317" spans="2:6" x14ac:dyDescent="0.2">
      <c r="B317" s="63"/>
      <c r="C317" s="62"/>
      <c r="D317" s="62"/>
      <c r="E317" s="62"/>
      <c r="F317" s="62"/>
    </row>
    <row r="318" spans="2:6" ht="21" x14ac:dyDescent="0.2">
      <c r="B318" s="84" t="s">
        <v>475</v>
      </c>
      <c r="C318" s="85" t="s">
        <v>476</v>
      </c>
      <c r="D318" s="85" t="s">
        <v>477</v>
      </c>
      <c r="E318" s="85" t="s">
        <v>478</v>
      </c>
      <c r="F318" s="85" t="s">
        <v>479</v>
      </c>
    </row>
    <row r="319" spans="2:6" x14ac:dyDescent="0.2">
      <c r="B319" s="86" t="s">
        <v>460</v>
      </c>
      <c r="C319" s="87" t="s">
        <v>113</v>
      </c>
      <c r="D319" s="88">
        <v>23.422699999999999</v>
      </c>
      <c r="E319" s="89">
        <v>21.1</v>
      </c>
      <c r="F319" s="109">
        <v>273.509883</v>
      </c>
    </row>
    <row r="320" spans="2:6" x14ac:dyDescent="0.2">
      <c r="B320" s="86" t="s">
        <v>333</v>
      </c>
      <c r="C320" s="87" t="s">
        <v>113</v>
      </c>
      <c r="D320" s="88">
        <v>21.57</v>
      </c>
      <c r="E320" s="89">
        <v>21.2</v>
      </c>
      <c r="F320" s="110"/>
    </row>
    <row r="321" spans="2:6" x14ac:dyDescent="0.2">
      <c r="B321" s="86" t="s">
        <v>325</v>
      </c>
      <c r="C321" s="87" t="s">
        <v>113</v>
      </c>
      <c r="D321" s="88">
        <v>1128.5999999999999</v>
      </c>
      <c r="E321" s="89">
        <v>1076.3</v>
      </c>
      <c r="F321" s="89">
        <v>0.82609437500000005</v>
      </c>
    </row>
    <row r="322" spans="2:6" x14ac:dyDescent="0.2">
      <c r="B322" s="86" t="s">
        <v>115</v>
      </c>
      <c r="C322" s="87" t="s">
        <v>113</v>
      </c>
      <c r="D322" s="88">
        <v>432.40589999999997</v>
      </c>
      <c r="E322" s="89">
        <v>432.25</v>
      </c>
      <c r="F322" s="109">
        <v>101.89493749900001</v>
      </c>
    </row>
    <row r="323" spans="2:6" x14ac:dyDescent="0.2">
      <c r="B323" s="86" t="s">
        <v>380</v>
      </c>
      <c r="C323" s="87" t="s">
        <v>113</v>
      </c>
      <c r="D323" s="88">
        <v>433.33339999999998</v>
      </c>
      <c r="E323" s="89">
        <v>434.75</v>
      </c>
      <c r="F323" s="110"/>
    </row>
    <row r="324" spans="2:6" x14ac:dyDescent="0.2">
      <c r="B324" s="86" t="s">
        <v>362</v>
      </c>
      <c r="C324" s="87" t="s">
        <v>113</v>
      </c>
      <c r="D324" s="88">
        <v>550.48749999999995</v>
      </c>
      <c r="E324" s="89">
        <v>539.20000000000005</v>
      </c>
      <c r="F324" s="89">
        <v>5.9935423999999999</v>
      </c>
    </row>
    <row r="325" spans="2:6" x14ac:dyDescent="0.2">
      <c r="B325" s="86" t="s">
        <v>376</v>
      </c>
      <c r="C325" s="87" t="s">
        <v>113</v>
      </c>
      <c r="D325" s="88">
        <v>181.2133</v>
      </c>
      <c r="E325" s="89">
        <v>171.91</v>
      </c>
      <c r="F325" s="89">
        <v>9.8200136750000002</v>
      </c>
    </row>
    <row r="326" spans="2:6" x14ac:dyDescent="0.2">
      <c r="B326" s="86" t="s">
        <v>118</v>
      </c>
      <c r="C326" s="87" t="s">
        <v>113</v>
      </c>
      <c r="D326" s="88">
        <v>10887</v>
      </c>
      <c r="E326" s="89">
        <v>10962</v>
      </c>
      <c r="F326" s="89">
        <v>0.97119500000000003</v>
      </c>
    </row>
    <row r="327" spans="2:6" x14ac:dyDescent="0.2">
      <c r="B327" s="86" t="s">
        <v>442</v>
      </c>
      <c r="C327" s="87" t="s">
        <v>113</v>
      </c>
      <c r="D327" s="88">
        <v>4926.2655999999997</v>
      </c>
      <c r="E327" s="89">
        <v>4832</v>
      </c>
      <c r="F327" s="109">
        <v>71.370600624999994</v>
      </c>
    </row>
    <row r="328" spans="2:6" x14ac:dyDescent="0.2">
      <c r="B328" s="86" t="s">
        <v>349</v>
      </c>
      <c r="C328" s="87" t="s">
        <v>113</v>
      </c>
      <c r="D328" s="88">
        <v>4943</v>
      </c>
      <c r="E328" s="89">
        <v>4852.5</v>
      </c>
      <c r="F328" s="110"/>
    </row>
    <row r="329" spans="2:6" x14ac:dyDescent="0.2">
      <c r="B329" s="86" t="s">
        <v>114</v>
      </c>
      <c r="C329" s="87" t="s">
        <v>113</v>
      </c>
      <c r="D329" s="88">
        <v>327.21429999999998</v>
      </c>
      <c r="E329" s="89">
        <v>283.55</v>
      </c>
      <c r="F329" s="89">
        <v>6.477436</v>
      </c>
    </row>
    <row r="330" spans="2:6" x14ac:dyDescent="0.2">
      <c r="B330" s="86" t="s">
        <v>405</v>
      </c>
      <c r="C330" s="87" t="s">
        <v>113</v>
      </c>
      <c r="D330" s="88">
        <v>4622.2308000000003</v>
      </c>
      <c r="E330" s="89">
        <v>4627.5</v>
      </c>
      <c r="F330" s="89">
        <v>18.531066875</v>
      </c>
    </row>
    <row r="331" spans="2:6" x14ac:dyDescent="0.2">
      <c r="B331" s="86" t="s">
        <v>327</v>
      </c>
      <c r="C331" s="87" t="s">
        <v>113</v>
      </c>
      <c r="D331" s="88">
        <v>2588.9</v>
      </c>
      <c r="E331" s="89">
        <v>2400.5</v>
      </c>
      <c r="F331" s="89">
        <v>1.053415</v>
      </c>
    </row>
    <row r="332" spans="2:6" x14ac:dyDescent="0.2">
      <c r="B332" s="86" t="s">
        <v>395</v>
      </c>
      <c r="C332" s="87" t="s">
        <v>113</v>
      </c>
      <c r="D332" s="88">
        <v>1521.95</v>
      </c>
      <c r="E332" s="89">
        <v>1533.4</v>
      </c>
      <c r="F332" s="89">
        <v>13.269551999999999</v>
      </c>
    </row>
    <row r="333" spans="2:6" x14ac:dyDescent="0.2">
      <c r="B333" s="86" t="s">
        <v>416</v>
      </c>
      <c r="C333" s="87" t="s">
        <v>113</v>
      </c>
      <c r="D333" s="88">
        <v>2179.1943000000001</v>
      </c>
      <c r="E333" s="89">
        <v>2055.1999999999998</v>
      </c>
      <c r="F333" s="89">
        <v>29.455024999999999</v>
      </c>
    </row>
    <row r="334" spans="2:6" x14ac:dyDescent="0.2">
      <c r="B334" s="86" t="s">
        <v>119</v>
      </c>
      <c r="C334" s="87" t="s">
        <v>113</v>
      </c>
      <c r="D334" s="88">
        <v>187.1318</v>
      </c>
      <c r="E334" s="89">
        <v>186.07</v>
      </c>
      <c r="F334" s="109">
        <v>173.120541</v>
      </c>
    </row>
    <row r="335" spans="2:6" x14ac:dyDescent="0.2">
      <c r="B335" s="86" t="s">
        <v>413</v>
      </c>
      <c r="C335" s="87" t="s">
        <v>113</v>
      </c>
      <c r="D335" s="88">
        <v>187.8723</v>
      </c>
      <c r="E335" s="89">
        <v>187.31</v>
      </c>
      <c r="F335" s="110"/>
    </row>
    <row r="336" spans="2:6" x14ac:dyDescent="0.2">
      <c r="B336" s="86" t="s">
        <v>385</v>
      </c>
      <c r="C336" s="87" t="s">
        <v>113</v>
      </c>
      <c r="D336" s="88">
        <v>378.61500000000001</v>
      </c>
      <c r="E336" s="89">
        <v>360.05</v>
      </c>
      <c r="F336" s="109">
        <v>11.08841825</v>
      </c>
    </row>
    <row r="337" spans="2:6" x14ac:dyDescent="0.2">
      <c r="B337" s="86" t="s">
        <v>338</v>
      </c>
      <c r="C337" s="87" t="s">
        <v>113</v>
      </c>
      <c r="D337" s="88">
        <v>366.8</v>
      </c>
      <c r="E337" s="89">
        <v>362.3</v>
      </c>
      <c r="F337" s="110"/>
    </row>
    <row r="338" spans="2:6" x14ac:dyDescent="0.2">
      <c r="B338" s="86" t="s">
        <v>346</v>
      </c>
      <c r="C338" s="87" t="s">
        <v>113</v>
      </c>
      <c r="D338" s="88">
        <v>1008.3</v>
      </c>
      <c r="E338" s="89">
        <v>957.6</v>
      </c>
      <c r="F338" s="89">
        <v>2.7820040000000001</v>
      </c>
    </row>
    <row r="339" spans="2:6" x14ac:dyDescent="0.2">
      <c r="B339" s="86" t="s">
        <v>448</v>
      </c>
      <c r="C339" s="87" t="s">
        <v>113</v>
      </c>
      <c r="D339" s="88">
        <v>263.05</v>
      </c>
      <c r="E339" s="89">
        <v>251.15</v>
      </c>
      <c r="F339" s="109">
        <v>157.95958793700001</v>
      </c>
    </row>
    <row r="340" spans="2:6" x14ac:dyDescent="0.2">
      <c r="B340" s="86" t="s">
        <v>422</v>
      </c>
      <c r="C340" s="87" t="s">
        <v>113</v>
      </c>
      <c r="D340" s="88">
        <v>259.0908</v>
      </c>
      <c r="E340" s="89">
        <v>252.1</v>
      </c>
      <c r="F340" s="110"/>
    </row>
    <row r="341" spans="2:6" x14ac:dyDescent="0.2">
      <c r="B341" s="86" t="s">
        <v>344</v>
      </c>
      <c r="C341" s="87" t="s">
        <v>113</v>
      </c>
      <c r="D341" s="88">
        <v>39.566699999999997</v>
      </c>
      <c r="E341" s="89">
        <v>39.57</v>
      </c>
      <c r="F341" s="89">
        <v>3.5070859499999996</v>
      </c>
    </row>
    <row r="342" spans="2:6" x14ac:dyDescent="0.2">
      <c r="B342" s="86" t="s">
        <v>421</v>
      </c>
      <c r="C342" s="87" t="s">
        <v>113</v>
      </c>
      <c r="D342" s="88">
        <v>1846.9963</v>
      </c>
      <c r="E342" s="89">
        <v>1831.9</v>
      </c>
      <c r="F342" s="89">
        <v>30.482539249999999</v>
      </c>
    </row>
    <row r="343" spans="2:6" x14ac:dyDescent="0.2">
      <c r="B343" s="86" t="s">
        <v>427</v>
      </c>
      <c r="C343" s="87" t="s">
        <v>113</v>
      </c>
      <c r="D343" s="88">
        <v>2465.4843999999998</v>
      </c>
      <c r="E343" s="89">
        <v>2483</v>
      </c>
      <c r="F343" s="89">
        <v>42.373350000000002</v>
      </c>
    </row>
    <row r="344" spans="2:6" x14ac:dyDescent="0.2">
      <c r="B344" s="86" t="s">
        <v>459</v>
      </c>
      <c r="C344" s="87" t="s">
        <v>113</v>
      </c>
      <c r="D344" s="88">
        <v>1000.5018</v>
      </c>
      <c r="E344" s="89">
        <v>967.2</v>
      </c>
      <c r="F344" s="109">
        <v>212.13736499999999</v>
      </c>
    </row>
    <row r="345" spans="2:6" x14ac:dyDescent="0.2">
      <c r="B345" s="86" t="s">
        <v>375</v>
      </c>
      <c r="C345" s="87" t="s">
        <v>113</v>
      </c>
      <c r="D345" s="88">
        <v>1022.9167</v>
      </c>
      <c r="E345" s="89">
        <v>972.2</v>
      </c>
      <c r="F345" s="110"/>
    </row>
    <row r="346" spans="2:6" x14ac:dyDescent="0.2">
      <c r="B346" s="86" t="s">
        <v>390</v>
      </c>
      <c r="C346" s="87" t="s">
        <v>113</v>
      </c>
      <c r="D346" s="88">
        <v>589.88570000000004</v>
      </c>
      <c r="E346" s="89">
        <v>582.6</v>
      </c>
      <c r="F346" s="89">
        <v>11.946031999999999</v>
      </c>
    </row>
    <row r="347" spans="2:6" x14ac:dyDescent="0.2">
      <c r="B347" s="86" t="s">
        <v>371</v>
      </c>
      <c r="C347" s="87" t="s">
        <v>113</v>
      </c>
      <c r="D347" s="88">
        <v>181.71250000000001</v>
      </c>
      <c r="E347" s="89">
        <v>177.87</v>
      </c>
      <c r="F347" s="89">
        <v>12.896038600000001</v>
      </c>
    </row>
    <row r="348" spans="2:6" x14ac:dyDescent="0.2">
      <c r="B348" s="86" t="s">
        <v>337</v>
      </c>
      <c r="C348" s="87" t="s">
        <v>113</v>
      </c>
      <c r="D348" s="88">
        <v>44.6</v>
      </c>
      <c r="E348" s="89">
        <v>43.06</v>
      </c>
      <c r="F348" s="109">
        <v>3.3982620000000003</v>
      </c>
    </row>
    <row r="349" spans="2:6" x14ac:dyDescent="0.2">
      <c r="B349" s="86" t="s">
        <v>329</v>
      </c>
      <c r="C349" s="87" t="s">
        <v>113</v>
      </c>
      <c r="D349" s="88">
        <v>43.32</v>
      </c>
      <c r="E349" s="89">
        <v>42.99</v>
      </c>
      <c r="F349" s="110"/>
    </row>
    <row r="350" spans="2:6" x14ac:dyDescent="0.2">
      <c r="B350" s="86" t="s">
        <v>122</v>
      </c>
      <c r="C350" s="87" t="s">
        <v>113</v>
      </c>
      <c r="D350" s="88">
        <v>1265.3449000000001</v>
      </c>
      <c r="E350" s="89">
        <v>1191.8</v>
      </c>
      <c r="F350" s="109">
        <v>642.9474725</v>
      </c>
    </row>
    <row r="351" spans="2:6" x14ac:dyDescent="0.2">
      <c r="B351" s="86" t="s">
        <v>456</v>
      </c>
      <c r="C351" s="87" t="s">
        <v>113</v>
      </c>
      <c r="D351" s="88">
        <v>1221.7901999999999</v>
      </c>
      <c r="E351" s="89">
        <v>1197.7</v>
      </c>
      <c r="F351" s="110"/>
    </row>
    <row r="352" spans="2:6" x14ac:dyDescent="0.2">
      <c r="B352" s="86" t="s">
        <v>357</v>
      </c>
      <c r="C352" s="87" t="s">
        <v>113</v>
      </c>
      <c r="D352" s="88">
        <v>410.07499999999999</v>
      </c>
      <c r="E352" s="89">
        <v>407.95</v>
      </c>
      <c r="F352" s="89">
        <v>5.5148688749999994</v>
      </c>
    </row>
    <row r="353" spans="2:6" x14ac:dyDescent="0.2">
      <c r="B353" s="86" t="s">
        <v>404</v>
      </c>
      <c r="C353" s="87" t="s">
        <v>113</v>
      </c>
      <c r="D353" s="88">
        <v>4415.6071000000002</v>
      </c>
      <c r="E353" s="89">
        <v>4410.2</v>
      </c>
      <c r="F353" s="89">
        <v>18.865707</v>
      </c>
    </row>
    <row r="354" spans="2:6" x14ac:dyDescent="0.2">
      <c r="B354" s="86" t="s">
        <v>345</v>
      </c>
      <c r="C354" s="87" t="s">
        <v>113</v>
      </c>
      <c r="D354" s="88">
        <v>33934.583400000003</v>
      </c>
      <c r="E354" s="89">
        <v>30630</v>
      </c>
      <c r="F354" s="89">
        <v>4.2306850000000003</v>
      </c>
    </row>
    <row r="355" spans="2:6" x14ac:dyDescent="0.2">
      <c r="B355" s="86" t="s">
        <v>399</v>
      </c>
      <c r="C355" s="87" t="s">
        <v>113</v>
      </c>
      <c r="D355" s="88">
        <v>268.56509999999997</v>
      </c>
      <c r="E355" s="89">
        <v>259.64999999999998</v>
      </c>
      <c r="F355" s="89">
        <v>14.028916000000001</v>
      </c>
    </row>
    <row r="356" spans="2:6" x14ac:dyDescent="0.2">
      <c r="B356" s="86" t="s">
        <v>388</v>
      </c>
      <c r="C356" s="87" t="s">
        <v>113</v>
      </c>
      <c r="D356" s="88">
        <v>118.1443</v>
      </c>
      <c r="E356" s="89">
        <v>113.77</v>
      </c>
      <c r="F356" s="89">
        <v>21.323372000000003</v>
      </c>
    </row>
    <row r="357" spans="2:6" x14ac:dyDescent="0.2">
      <c r="B357" s="86" t="s">
        <v>341</v>
      </c>
      <c r="C357" s="87" t="s">
        <v>113</v>
      </c>
      <c r="D357" s="88">
        <v>1980.7</v>
      </c>
      <c r="E357" s="89">
        <v>1951.7</v>
      </c>
      <c r="F357" s="89">
        <v>2.6641265000000001</v>
      </c>
    </row>
    <row r="358" spans="2:6" x14ac:dyDescent="0.2">
      <c r="B358" s="86" t="s">
        <v>436</v>
      </c>
      <c r="C358" s="87" t="s">
        <v>113</v>
      </c>
      <c r="D358" s="88">
        <v>515.65560000000005</v>
      </c>
      <c r="E358" s="89">
        <v>499.2</v>
      </c>
      <c r="F358" s="109">
        <v>135.08638762499999</v>
      </c>
    </row>
    <row r="359" spans="2:6" x14ac:dyDescent="0.2">
      <c r="B359" s="86" t="s">
        <v>418</v>
      </c>
      <c r="C359" s="87" t="s">
        <v>113</v>
      </c>
      <c r="D359" s="88">
        <v>516.45860000000005</v>
      </c>
      <c r="E359" s="89">
        <v>501.75</v>
      </c>
      <c r="F359" s="110"/>
    </row>
    <row r="360" spans="2:6" x14ac:dyDescent="0.2">
      <c r="B360" s="86" t="s">
        <v>439</v>
      </c>
      <c r="C360" s="87" t="s">
        <v>113</v>
      </c>
      <c r="D360" s="88">
        <v>340.97320000000002</v>
      </c>
      <c r="E360" s="89">
        <v>328.55</v>
      </c>
      <c r="F360" s="89">
        <v>72.311420999999996</v>
      </c>
    </row>
    <row r="361" spans="2:6" x14ac:dyDescent="0.2">
      <c r="B361" s="86" t="s">
        <v>406</v>
      </c>
      <c r="C361" s="87" t="s">
        <v>113</v>
      </c>
      <c r="D361" s="88">
        <v>237.63220000000001</v>
      </c>
      <c r="E361" s="89">
        <v>225.49</v>
      </c>
      <c r="F361" s="89">
        <v>20.706287624999998</v>
      </c>
    </row>
    <row r="362" spans="2:6" x14ac:dyDescent="0.2">
      <c r="B362" s="86" t="s">
        <v>351</v>
      </c>
      <c r="C362" s="87" t="s">
        <v>113</v>
      </c>
      <c r="D362" s="88">
        <v>475.16250000000002</v>
      </c>
      <c r="E362" s="89">
        <v>449.65</v>
      </c>
      <c r="F362" s="89">
        <v>4.0163655</v>
      </c>
    </row>
    <row r="363" spans="2:6" x14ac:dyDescent="0.2">
      <c r="B363" s="86" t="s">
        <v>401</v>
      </c>
      <c r="C363" s="87" t="s">
        <v>113</v>
      </c>
      <c r="D363" s="88">
        <v>329.12060000000002</v>
      </c>
      <c r="E363" s="89">
        <v>321.2</v>
      </c>
      <c r="F363" s="89">
        <v>14.576309999999999</v>
      </c>
    </row>
    <row r="364" spans="2:6" x14ac:dyDescent="0.2">
      <c r="B364" s="86" t="s">
        <v>120</v>
      </c>
      <c r="C364" s="87" t="s">
        <v>113</v>
      </c>
      <c r="D364" s="88">
        <v>78.432299999999998</v>
      </c>
      <c r="E364" s="89">
        <v>76.47</v>
      </c>
      <c r="F364" s="109">
        <v>178.47110024999998</v>
      </c>
    </row>
    <row r="365" spans="2:6" x14ac:dyDescent="0.2">
      <c r="B365" s="86" t="s">
        <v>330</v>
      </c>
      <c r="C365" s="87" t="s">
        <v>113</v>
      </c>
      <c r="D365" s="88">
        <v>79.599999999999994</v>
      </c>
      <c r="E365" s="89">
        <v>76.98</v>
      </c>
      <c r="F365" s="110"/>
    </row>
    <row r="366" spans="2:6" x14ac:dyDescent="0.2">
      <c r="B366" s="86" t="s">
        <v>372</v>
      </c>
      <c r="C366" s="87" t="s">
        <v>113</v>
      </c>
      <c r="D366" s="88">
        <v>1276.3399999999999</v>
      </c>
      <c r="E366" s="89">
        <v>1220.7</v>
      </c>
      <c r="F366" s="89">
        <v>6.9386537500000003</v>
      </c>
    </row>
    <row r="367" spans="2:6" x14ac:dyDescent="0.2">
      <c r="B367" s="86" t="s">
        <v>415</v>
      </c>
      <c r="C367" s="87" t="s">
        <v>113</v>
      </c>
      <c r="D367" s="88">
        <v>347.78399999999999</v>
      </c>
      <c r="E367" s="89">
        <v>344</v>
      </c>
      <c r="F367" s="89">
        <v>41.226559999999999</v>
      </c>
    </row>
    <row r="368" spans="2:6" x14ac:dyDescent="0.2">
      <c r="B368" s="86" t="s">
        <v>354</v>
      </c>
      <c r="C368" s="87" t="s">
        <v>113</v>
      </c>
      <c r="D368" s="88">
        <v>2226.0250000000001</v>
      </c>
      <c r="E368" s="89">
        <v>2171.6</v>
      </c>
      <c r="F368" s="89">
        <v>4.6780359999999996</v>
      </c>
    </row>
    <row r="369" spans="2:6" x14ac:dyDescent="0.2">
      <c r="B369" s="86" t="s">
        <v>352</v>
      </c>
      <c r="C369" s="87" t="s">
        <v>113</v>
      </c>
      <c r="D369" s="88">
        <v>170.97</v>
      </c>
      <c r="E369" s="89">
        <v>163.57</v>
      </c>
      <c r="F369" s="89">
        <v>4.3781788500000003</v>
      </c>
    </row>
    <row r="370" spans="2:6" x14ac:dyDescent="0.2">
      <c r="B370" s="86" t="s">
        <v>433</v>
      </c>
      <c r="C370" s="87" t="s">
        <v>113</v>
      </c>
      <c r="D370" s="88">
        <v>3389.7132000000001</v>
      </c>
      <c r="E370" s="89">
        <v>3336.2</v>
      </c>
      <c r="F370" s="109">
        <v>81.891807999999997</v>
      </c>
    </row>
    <row r="371" spans="2:6" x14ac:dyDescent="0.2">
      <c r="B371" s="86" t="s">
        <v>386</v>
      </c>
      <c r="C371" s="87" t="s">
        <v>113</v>
      </c>
      <c r="D371" s="88">
        <v>3402.9571000000001</v>
      </c>
      <c r="E371" s="89">
        <v>3351.6</v>
      </c>
      <c r="F371" s="110"/>
    </row>
    <row r="372" spans="2:6" x14ac:dyDescent="0.2">
      <c r="B372" s="86" t="s">
        <v>410</v>
      </c>
      <c r="C372" s="87" t="s">
        <v>113</v>
      </c>
      <c r="D372" s="88">
        <v>12260.5416</v>
      </c>
      <c r="E372" s="89">
        <v>11981</v>
      </c>
      <c r="F372" s="109">
        <v>26.528265000000001</v>
      </c>
    </row>
    <row r="373" spans="2:6" x14ac:dyDescent="0.2">
      <c r="B373" s="86" t="s">
        <v>331</v>
      </c>
      <c r="C373" s="87" t="s">
        <v>113</v>
      </c>
      <c r="D373" s="88">
        <v>12069</v>
      </c>
      <c r="E373" s="89">
        <v>12042</v>
      </c>
      <c r="F373" s="110"/>
    </row>
    <row r="374" spans="2:6" x14ac:dyDescent="0.2">
      <c r="B374" s="86" t="s">
        <v>396</v>
      </c>
      <c r="C374" s="87" t="s">
        <v>113</v>
      </c>
      <c r="D374" s="88">
        <v>807.72500000000002</v>
      </c>
      <c r="E374" s="89">
        <v>793.8</v>
      </c>
      <c r="F374" s="89">
        <v>13.401888</v>
      </c>
    </row>
    <row r="375" spans="2:6" x14ac:dyDescent="0.2">
      <c r="B375" s="86" t="s">
        <v>440</v>
      </c>
      <c r="C375" s="87" t="s">
        <v>113</v>
      </c>
      <c r="D375" s="88">
        <v>316.26580000000001</v>
      </c>
      <c r="E375" s="89">
        <v>318.39999999999998</v>
      </c>
      <c r="F375" s="89">
        <v>135.03756000000001</v>
      </c>
    </row>
    <row r="376" spans="2:6" x14ac:dyDescent="0.2">
      <c r="B376" s="86" t="s">
        <v>417</v>
      </c>
      <c r="C376" s="87" t="s">
        <v>113</v>
      </c>
      <c r="D376" s="88">
        <v>3063.1572000000001</v>
      </c>
      <c r="E376" s="89">
        <v>2951.5</v>
      </c>
      <c r="F376" s="109">
        <v>34.277187999999995</v>
      </c>
    </row>
    <row r="377" spans="2:6" x14ac:dyDescent="0.2">
      <c r="B377" s="86" t="s">
        <v>353</v>
      </c>
      <c r="C377" s="87" t="s">
        <v>113</v>
      </c>
      <c r="D377" s="88">
        <v>3067.5250000000001</v>
      </c>
      <c r="E377" s="89">
        <v>2968.6</v>
      </c>
      <c r="F377" s="110"/>
    </row>
    <row r="378" spans="2:6" x14ac:dyDescent="0.2">
      <c r="B378" s="86" t="s">
        <v>411</v>
      </c>
      <c r="C378" s="87" t="s">
        <v>113</v>
      </c>
      <c r="D378" s="88">
        <v>2210.6824000000001</v>
      </c>
      <c r="E378" s="89">
        <v>2047</v>
      </c>
      <c r="F378" s="89">
        <v>26.045041250000001</v>
      </c>
    </row>
    <row r="379" spans="2:6" x14ac:dyDescent="0.2">
      <c r="B379" s="86" t="s">
        <v>365</v>
      </c>
      <c r="C379" s="87" t="s">
        <v>113</v>
      </c>
      <c r="D379" s="88">
        <v>273.75</v>
      </c>
      <c r="E379" s="89">
        <v>266.95</v>
      </c>
      <c r="F379" s="89">
        <v>6.7019956250000003</v>
      </c>
    </row>
    <row r="380" spans="2:6" x14ac:dyDescent="0.2">
      <c r="B380" s="86" t="s">
        <v>340</v>
      </c>
      <c r="C380" s="87" t="s">
        <v>113</v>
      </c>
      <c r="D380" s="88">
        <v>3840.4</v>
      </c>
      <c r="E380" s="89">
        <v>3763.2</v>
      </c>
      <c r="F380" s="109">
        <v>3.5051109999999999</v>
      </c>
    </row>
    <row r="381" spans="2:6" x14ac:dyDescent="0.2">
      <c r="B381" s="86" t="s">
        <v>334</v>
      </c>
      <c r="C381" s="87" t="s">
        <v>113</v>
      </c>
      <c r="D381" s="88">
        <v>3897</v>
      </c>
      <c r="E381" s="89">
        <v>3776.8</v>
      </c>
      <c r="F381" s="110"/>
    </row>
    <row r="382" spans="2:6" x14ac:dyDescent="0.2">
      <c r="B382" s="86" t="s">
        <v>123</v>
      </c>
      <c r="C382" s="87" t="s">
        <v>113</v>
      </c>
      <c r="D382" s="88">
        <v>403.78890000000001</v>
      </c>
      <c r="E382" s="89">
        <v>399.6</v>
      </c>
      <c r="F382" s="109">
        <v>411.29437124999998</v>
      </c>
    </row>
    <row r="383" spans="2:6" x14ac:dyDescent="0.2">
      <c r="B383" s="86" t="s">
        <v>434</v>
      </c>
      <c r="C383" s="87" t="s">
        <v>113</v>
      </c>
      <c r="D383" s="88">
        <v>404.99119999999999</v>
      </c>
      <c r="E383" s="89">
        <v>401.85</v>
      </c>
      <c r="F383" s="110"/>
    </row>
    <row r="384" spans="2:6" x14ac:dyDescent="0.2">
      <c r="B384" s="86" t="s">
        <v>379</v>
      </c>
      <c r="C384" s="87" t="s">
        <v>113</v>
      </c>
      <c r="D384" s="88">
        <v>559.54999999999995</v>
      </c>
      <c r="E384" s="89">
        <v>536.65</v>
      </c>
      <c r="F384" s="109">
        <v>14.10666</v>
      </c>
    </row>
    <row r="385" spans="2:6" x14ac:dyDescent="0.2">
      <c r="B385" s="86" t="s">
        <v>347</v>
      </c>
      <c r="C385" s="87" t="s">
        <v>113</v>
      </c>
      <c r="D385" s="88">
        <v>546.61670000000004</v>
      </c>
      <c r="E385" s="89">
        <v>538.65</v>
      </c>
      <c r="F385" s="110"/>
    </row>
    <row r="386" spans="2:6" x14ac:dyDescent="0.2">
      <c r="B386" s="86" t="s">
        <v>412</v>
      </c>
      <c r="C386" s="87" t="s">
        <v>113</v>
      </c>
      <c r="D386" s="88">
        <v>415.7276</v>
      </c>
      <c r="E386" s="89">
        <v>416.9</v>
      </c>
      <c r="F386" s="89">
        <v>26.611740000000001</v>
      </c>
    </row>
    <row r="387" spans="2:6" x14ac:dyDescent="0.2">
      <c r="B387" s="86" t="s">
        <v>446</v>
      </c>
      <c r="C387" s="87" t="s">
        <v>113</v>
      </c>
      <c r="D387" s="88">
        <v>4519</v>
      </c>
      <c r="E387" s="89">
        <v>4464</v>
      </c>
      <c r="F387" s="89">
        <v>102.1713</v>
      </c>
    </row>
    <row r="388" spans="2:6" x14ac:dyDescent="0.2">
      <c r="B388" s="86" t="s">
        <v>420</v>
      </c>
      <c r="C388" s="87" t="s">
        <v>113</v>
      </c>
      <c r="D388" s="88">
        <v>577.70870000000002</v>
      </c>
      <c r="E388" s="89">
        <v>556.35</v>
      </c>
      <c r="F388" s="89">
        <v>49.522343624999998</v>
      </c>
    </row>
    <row r="389" spans="2:6" x14ac:dyDescent="0.2">
      <c r="B389" s="86" t="s">
        <v>112</v>
      </c>
      <c r="C389" s="87" t="s">
        <v>113</v>
      </c>
      <c r="D389" s="88">
        <v>1290</v>
      </c>
      <c r="E389" s="89">
        <v>1265.8</v>
      </c>
      <c r="F389" s="89">
        <v>1.50270525</v>
      </c>
    </row>
    <row r="390" spans="2:6" x14ac:dyDescent="0.2">
      <c r="B390" s="86" t="s">
        <v>400</v>
      </c>
      <c r="C390" s="87" t="s">
        <v>113</v>
      </c>
      <c r="D390" s="88">
        <v>498.66</v>
      </c>
      <c r="E390" s="89">
        <v>492.45</v>
      </c>
      <c r="F390" s="89">
        <v>16.679014687000002</v>
      </c>
    </row>
    <row r="391" spans="2:6" x14ac:dyDescent="0.2">
      <c r="B391" s="86" t="s">
        <v>397</v>
      </c>
      <c r="C391" s="87" t="s">
        <v>113</v>
      </c>
      <c r="D391" s="88">
        <v>236.3827</v>
      </c>
      <c r="E391" s="89">
        <v>216.88</v>
      </c>
      <c r="F391" s="89">
        <v>14.826437</v>
      </c>
    </row>
    <row r="392" spans="2:6" x14ac:dyDescent="0.2">
      <c r="B392" s="86" t="s">
        <v>437</v>
      </c>
      <c r="C392" s="87" t="s">
        <v>113</v>
      </c>
      <c r="D392" s="88">
        <v>267.21210000000002</v>
      </c>
      <c r="E392" s="89">
        <v>263.55</v>
      </c>
      <c r="F392" s="109">
        <v>161.32208625000001</v>
      </c>
    </row>
    <row r="393" spans="2:6" x14ac:dyDescent="0.2">
      <c r="B393" s="86" t="s">
        <v>452</v>
      </c>
      <c r="C393" s="87" t="s">
        <v>113</v>
      </c>
      <c r="D393" s="88">
        <v>267.28879999999998</v>
      </c>
      <c r="E393" s="89">
        <v>265.05</v>
      </c>
      <c r="F393" s="110"/>
    </row>
    <row r="394" spans="2:6" x14ac:dyDescent="0.2">
      <c r="B394" s="86" t="s">
        <v>394</v>
      </c>
      <c r="C394" s="87" t="s">
        <v>113</v>
      </c>
      <c r="D394" s="88">
        <v>135.6242</v>
      </c>
      <c r="E394" s="89">
        <v>134.12</v>
      </c>
      <c r="F394" s="89">
        <v>12.81326475</v>
      </c>
    </row>
    <row r="395" spans="2:6" x14ac:dyDescent="0.2">
      <c r="B395" s="86" t="s">
        <v>326</v>
      </c>
      <c r="C395" s="87" t="s">
        <v>113</v>
      </c>
      <c r="D395" s="88">
        <v>75.155000000000001</v>
      </c>
      <c r="E395" s="89">
        <v>70.08</v>
      </c>
      <c r="F395" s="89">
        <v>1.8569472</v>
      </c>
    </row>
    <row r="396" spans="2:6" x14ac:dyDescent="0.2">
      <c r="B396" s="86" t="s">
        <v>447</v>
      </c>
      <c r="C396" s="87" t="s">
        <v>113</v>
      </c>
      <c r="D396" s="88">
        <v>996.15980000000002</v>
      </c>
      <c r="E396" s="89">
        <v>1002.6</v>
      </c>
      <c r="F396" s="89">
        <v>93.608648000000002</v>
      </c>
    </row>
    <row r="397" spans="2:6" x14ac:dyDescent="0.2">
      <c r="B397" s="86" t="s">
        <v>384</v>
      </c>
      <c r="C397" s="87" t="s">
        <v>113</v>
      </c>
      <c r="D397" s="88">
        <v>384.80630000000002</v>
      </c>
      <c r="E397" s="89">
        <v>374.25</v>
      </c>
      <c r="F397" s="89">
        <v>17.184449999999998</v>
      </c>
    </row>
    <row r="398" spans="2:6" x14ac:dyDescent="0.2">
      <c r="B398" s="86" t="s">
        <v>443</v>
      </c>
      <c r="C398" s="87" t="s">
        <v>113</v>
      </c>
      <c r="D398" s="88">
        <v>920.85479999999995</v>
      </c>
      <c r="E398" s="89">
        <v>901.8</v>
      </c>
      <c r="F398" s="89">
        <v>82.561121999999997</v>
      </c>
    </row>
    <row r="399" spans="2:6" x14ac:dyDescent="0.2">
      <c r="B399" s="86" t="s">
        <v>364</v>
      </c>
      <c r="C399" s="87" t="s">
        <v>113</v>
      </c>
      <c r="D399" s="88">
        <v>5366.125</v>
      </c>
      <c r="E399" s="89">
        <v>4981</v>
      </c>
      <c r="F399" s="89">
        <v>6.2024100000000004</v>
      </c>
    </row>
    <row r="400" spans="2:6" x14ac:dyDescent="0.2">
      <c r="B400" s="86" t="s">
        <v>124</v>
      </c>
      <c r="C400" s="87" t="s">
        <v>113</v>
      </c>
      <c r="D400" s="88">
        <v>735.47500000000002</v>
      </c>
      <c r="E400" s="89">
        <v>734.55</v>
      </c>
      <c r="F400" s="89">
        <v>18.111695000000001</v>
      </c>
    </row>
    <row r="401" spans="2:6" x14ac:dyDescent="0.2">
      <c r="B401" s="86" t="s">
        <v>350</v>
      </c>
      <c r="C401" s="87" t="s">
        <v>113</v>
      </c>
      <c r="D401" s="88">
        <v>125.2075</v>
      </c>
      <c r="E401" s="89">
        <v>107.44</v>
      </c>
      <c r="F401" s="89">
        <v>7.1577336000000003</v>
      </c>
    </row>
    <row r="402" spans="2:6" x14ac:dyDescent="0.2">
      <c r="B402" s="86" t="s">
        <v>403</v>
      </c>
      <c r="C402" s="87" t="s">
        <v>113</v>
      </c>
      <c r="D402" s="88">
        <v>86.844200000000001</v>
      </c>
      <c r="E402" s="89">
        <v>81.59</v>
      </c>
      <c r="F402" s="109">
        <v>70.141635999999991</v>
      </c>
    </row>
    <row r="403" spans="2:6" x14ac:dyDescent="0.2">
      <c r="B403" s="86" t="s">
        <v>431</v>
      </c>
      <c r="C403" s="87" t="s">
        <v>113</v>
      </c>
      <c r="D403" s="88">
        <v>84.961100000000002</v>
      </c>
      <c r="E403" s="89">
        <v>81.98</v>
      </c>
      <c r="F403" s="110"/>
    </row>
    <row r="404" spans="2:6" x14ac:dyDescent="0.2">
      <c r="B404" s="86" t="s">
        <v>392</v>
      </c>
      <c r="C404" s="87" t="s">
        <v>113</v>
      </c>
      <c r="D404" s="88">
        <v>13.208600000000001</v>
      </c>
      <c r="E404" s="89">
        <v>13.13</v>
      </c>
      <c r="F404" s="109">
        <v>1293.054372949</v>
      </c>
    </row>
    <row r="405" spans="2:6" x14ac:dyDescent="0.2">
      <c r="B405" s="86" t="s">
        <v>461</v>
      </c>
      <c r="C405" s="87" t="s">
        <v>113</v>
      </c>
      <c r="D405" s="88">
        <v>14.9178</v>
      </c>
      <c r="E405" s="89">
        <v>12.98</v>
      </c>
      <c r="F405" s="111"/>
    </row>
    <row r="406" spans="2:6" x14ac:dyDescent="0.2">
      <c r="B406" s="86" t="s">
        <v>458</v>
      </c>
      <c r="C406" s="87" t="s">
        <v>113</v>
      </c>
      <c r="D406" s="88">
        <v>14.493600000000001</v>
      </c>
      <c r="E406" s="89">
        <v>13.05</v>
      </c>
      <c r="F406" s="110"/>
    </row>
    <row r="407" spans="2:6" x14ac:dyDescent="0.2">
      <c r="B407" s="86" t="s">
        <v>336</v>
      </c>
      <c r="C407" s="87" t="s">
        <v>113</v>
      </c>
      <c r="D407" s="88">
        <v>1586</v>
      </c>
      <c r="E407" s="89">
        <v>1573.6</v>
      </c>
      <c r="F407" s="89">
        <v>1.8283639999999999</v>
      </c>
    </row>
    <row r="408" spans="2:6" x14ac:dyDescent="0.2">
      <c r="B408" s="86" t="s">
        <v>463</v>
      </c>
      <c r="C408" s="87" t="s">
        <v>113</v>
      </c>
      <c r="D408" s="88">
        <v>1382.2766999999999</v>
      </c>
      <c r="E408" s="89">
        <v>1329</v>
      </c>
      <c r="F408" s="109">
        <v>708.25652099999991</v>
      </c>
    </row>
    <row r="409" spans="2:6" x14ac:dyDescent="0.2">
      <c r="B409" s="86" t="s">
        <v>455</v>
      </c>
      <c r="C409" s="87" t="s">
        <v>113</v>
      </c>
      <c r="D409" s="88">
        <v>1320.1394</v>
      </c>
      <c r="E409" s="89">
        <v>1336.3</v>
      </c>
      <c r="F409" s="110"/>
    </row>
    <row r="410" spans="2:6" x14ac:dyDescent="0.2">
      <c r="B410" s="86" t="s">
        <v>393</v>
      </c>
      <c r="C410" s="87" t="s">
        <v>113</v>
      </c>
      <c r="D410" s="88">
        <v>2018.3833</v>
      </c>
      <c r="E410" s="89">
        <v>1880</v>
      </c>
      <c r="F410" s="89">
        <v>11.993040000000001</v>
      </c>
    </row>
    <row r="411" spans="2:6" x14ac:dyDescent="0.2">
      <c r="B411" s="86" t="s">
        <v>374</v>
      </c>
      <c r="C411" s="87" t="s">
        <v>113</v>
      </c>
      <c r="D411" s="88">
        <v>343.89170000000001</v>
      </c>
      <c r="E411" s="89">
        <v>353.45</v>
      </c>
      <c r="F411" s="89">
        <v>9.2620361249999998</v>
      </c>
    </row>
    <row r="412" spans="2:6" x14ac:dyDescent="0.2">
      <c r="B412" s="86" t="s">
        <v>429</v>
      </c>
      <c r="C412" s="87" t="s">
        <v>113</v>
      </c>
      <c r="D412" s="88">
        <v>986.88570000000004</v>
      </c>
      <c r="E412" s="89">
        <v>949.8</v>
      </c>
      <c r="F412" s="89">
        <v>43.669535000000003</v>
      </c>
    </row>
    <row r="413" spans="2:6" x14ac:dyDescent="0.2">
      <c r="B413" s="86" t="s">
        <v>373</v>
      </c>
      <c r="C413" s="87" t="s">
        <v>113</v>
      </c>
      <c r="D413" s="88">
        <v>5763.5587999999998</v>
      </c>
      <c r="E413" s="89">
        <v>5280</v>
      </c>
      <c r="F413" s="89">
        <v>6.9782299999999999</v>
      </c>
    </row>
    <row r="414" spans="2:6" x14ac:dyDescent="0.2">
      <c r="B414" s="86" t="s">
        <v>360</v>
      </c>
      <c r="C414" s="87" t="s">
        <v>113</v>
      </c>
      <c r="D414" s="88">
        <v>557.06500000000005</v>
      </c>
      <c r="E414" s="89">
        <v>519.45000000000005</v>
      </c>
      <c r="F414" s="89">
        <v>5.0781912499999997</v>
      </c>
    </row>
    <row r="415" spans="2:6" x14ac:dyDescent="0.2">
      <c r="B415" s="86" t="s">
        <v>116</v>
      </c>
      <c r="C415" s="87" t="s">
        <v>113</v>
      </c>
      <c r="D415" s="88">
        <v>727.86410000000001</v>
      </c>
      <c r="E415" s="89">
        <v>715.55</v>
      </c>
      <c r="F415" s="109">
        <v>691.46676624999998</v>
      </c>
    </row>
    <row r="416" spans="2:6" x14ac:dyDescent="0.2">
      <c r="B416" s="86" t="s">
        <v>408</v>
      </c>
      <c r="C416" s="87" t="s">
        <v>113</v>
      </c>
      <c r="D416" s="88">
        <v>731.21659999999997</v>
      </c>
      <c r="E416" s="89">
        <v>718.8</v>
      </c>
      <c r="F416" s="110"/>
    </row>
    <row r="417" spans="2:6" x14ac:dyDescent="0.2">
      <c r="B417" s="86" t="s">
        <v>358</v>
      </c>
      <c r="C417" s="87" t="s">
        <v>113</v>
      </c>
      <c r="D417" s="88">
        <v>2297.3000000000002</v>
      </c>
      <c r="E417" s="89">
        <v>2309.5</v>
      </c>
      <c r="F417" s="89">
        <v>5.5993500000000003</v>
      </c>
    </row>
    <row r="418" spans="2:6" x14ac:dyDescent="0.2">
      <c r="B418" s="86" t="s">
        <v>441</v>
      </c>
      <c r="C418" s="87" t="s">
        <v>113</v>
      </c>
      <c r="D418" s="88">
        <v>1225.528</v>
      </c>
      <c r="E418" s="89">
        <v>1224.5999999999999</v>
      </c>
      <c r="F418" s="89">
        <v>69.435299999999998</v>
      </c>
    </row>
    <row r="419" spans="2:6" x14ac:dyDescent="0.2">
      <c r="B419" s="86" t="s">
        <v>407</v>
      </c>
      <c r="C419" s="87" t="s">
        <v>113</v>
      </c>
      <c r="D419" s="88">
        <v>4879.3647000000001</v>
      </c>
      <c r="E419" s="89">
        <v>4704</v>
      </c>
      <c r="F419" s="89">
        <v>23.198630000000001</v>
      </c>
    </row>
    <row r="420" spans="2:6" x14ac:dyDescent="0.2">
      <c r="B420" s="86" t="s">
        <v>370</v>
      </c>
      <c r="C420" s="87" t="s">
        <v>113</v>
      </c>
      <c r="D420" s="88">
        <v>4198.2166999999999</v>
      </c>
      <c r="E420" s="89">
        <v>4242.5</v>
      </c>
      <c r="F420" s="89">
        <v>8.6413362500000002</v>
      </c>
    </row>
    <row r="421" spans="2:6" x14ac:dyDescent="0.2">
      <c r="B421" s="86" t="s">
        <v>444</v>
      </c>
      <c r="C421" s="87" t="s">
        <v>113</v>
      </c>
      <c r="D421" s="88">
        <v>1720.2460000000001</v>
      </c>
      <c r="E421" s="89">
        <v>1642.8</v>
      </c>
      <c r="F421" s="89">
        <v>90.165379000000001</v>
      </c>
    </row>
    <row r="422" spans="2:6" x14ac:dyDescent="0.2">
      <c r="B422" s="86" t="s">
        <v>367</v>
      </c>
      <c r="C422" s="87" t="s">
        <v>113</v>
      </c>
      <c r="D422" s="88">
        <v>174.36</v>
      </c>
      <c r="E422" s="89">
        <v>172.26</v>
      </c>
      <c r="F422" s="89">
        <v>5.3922952500000001</v>
      </c>
    </row>
    <row r="423" spans="2:6" x14ac:dyDescent="0.2">
      <c r="B423" s="86" t="s">
        <v>363</v>
      </c>
      <c r="C423" s="87" t="s">
        <v>113</v>
      </c>
      <c r="D423" s="88">
        <v>919.71</v>
      </c>
      <c r="E423" s="89">
        <v>764.7</v>
      </c>
      <c r="F423" s="89">
        <v>5.5139143749999997</v>
      </c>
    </row>
    <row r="424" spans="2:6" x14ac:dyDescent="0.2">
      <c r="B424" s="86" t="s">
        <v>450</v>
      </c>
      <c r="C424" s="87" t="s">
        <v>113</v>
      </c>
      <c r="D424" s="88">
        <v>329.471</v>
      </c>
      <c r="E424" s="89">
        <v>320.3</v>
      </c>
      <c r="F424" s="109">
        <v>108.5678125</v>
      </c>
    </row>
    <row r="425" spans="2:6" x14ac:dyDescent="0.2">
      <c r="B425" s="86" t="s">
        <v>389</v>
      </c>
      <c r="C425" s="87" t="s">
        <v>113</v>
      </c>
      <c r="D425" s="88">
        <v>341.3562</v>
      </c>
      <c r="E425" s="89">
        <v>322.10000000000002</v>
      </c>
      <c r="F425" s="110"/>
    </row>
    <row r="426" spans="2:6" x14ac:dyDescent="0.2">
      <c r="B426" s="86" t="s">
        <v>335</v>
      </c>
      <c r="C426" s="87" t="s">
        <v>113</v>
      </c>
      <c r="D426" s="88">
        <v>322.5</v>
      </c>
      <c r="E426" s="89">
        <v>319.64999999999998</v>
      </c>
      <c r="F426" s="89">
        <v>1.7006029370000002</v>
      </c>
    </row>
    <row r="427" spans="2:6" x14ac:dyDescent="0.2">
      <c r="B427" s="86" t="s">
        <v>339</v>
      </c>
      <c r="C427" s="87" t="s">
        <v>113</v>
      </c>
      <c r="D427" s="88">
        <v>623.03330000000005</v>
      </c>
      <c r="E427" s="89">
        <v>670.2</v>
      </c>
      <c r="F427" s="89">
        <v>2.5904029999999998</v>
      </c>
    </row>
    <row r="428" spans="2:6" x14ac:dyDescent="0.2">
      <c r="B428" s="86" t="s">
        <v>428</v>
      </c>
      <c r="C428" s="87" t="s">
        <v>113</v>
      </c>
      <c r="D428" s="88">
        <v>9504.2916999999998</v>
      </c>
      <c r="E428" s="89">
        <v>9336</v>
      </c>
      <c r="F428" s="89">
        <v>39.567599999999999</v>
      </c>
    </row>
    <row r="429" spans="2:6" x14ac:dyDescent="0.2">
      <c r="B429" s="86" t="s">
        <v>419</v>
      </c>
      <c r="C429" s="87" t="s">
        <v>113</v>
      </c>
      <c r="D429" s="88">
        <v>426.33</v>
      </c>
      <c r="E429" s="89">
        <v>409.15</v>
      </c>
      <c r="F429" s="109">
        <v>50.065065687000001</v>
      </c>
    </row>
    <row r="430" spans="2:6" x14ac:dyDescent="0.2">
      <c r="B430" s="86" t="s">
        <v>398</v>
      </c>
      <c r="C430" s="87" t="s">
        <v>113</v>
      </c>
      <c r="D430" s="88">
        <v>412.61669999999998</v>
      </c>
      <c r="E430" s="89">
        <v>410.95</v>
      </c>
      <c r="F430" s="110"/>
    </row>
    <row r="431" spans="2:6" x14ac:dyDescent="0.2">
      <c r="B431" s="86" t="s">
        <v>445</v>
      </c>
      <c r="C431" s="87" t="s">
        <v>113</v>
      </c>
      <c r="D431" s="88">
        <v>4890.7857000000004</v>
      </c>
      <c r="E431" s="89">
        <v>4798</v>
      </c>
      <c r="F431" s="89">
        <v>75.646199999999993</v>
      </c>
    </row>
    <row r="432" spans="2:6" x14ac:dyDescent="0.2">
      <c r="B432" s="86" t="s">
        <v>451</v>
      </c>
      <c r="C432" s="87" t="s">
        <v>113</v>
      </c>
      <c r="D432" s="88">
        <v>223.19370000000001</v>
      </c>
      <c r="E432" s="89">
        <v>210.53</v>
      </c>
      <c r="F432" s="109">
        <v>322.01336040000001</v>
      </c>
    </row>
    <row r="433" spans="2:6" x14ac:dyDescent="0.2">
      <c r="B433" s="86" t="s">
        <v>438</v>
      </c>
      <c r="C433" s="87" t="s">
        <v>113</v>
      </c>
      <c r="D433" s="88">
        <v>221.70339999999999</v>
      </c>
      <c r="E433" s="89">
        <v>211.01</v>
      </c>
      <c r="F433" s="110"/>
    </row>
    <row r="434" spans="2:6" x14ac:dyDescent="0.2">
      <c r="B434" s="86" t="s">
        <v>424</v>
      </c>
      <c r="C434" s="87" t="s">
        <v>113</v>
      </c>
      <c r="D434" s="88">
        <v>465.39870000000002</v>
      </c>
      <c r="E434" s="89">
        <v>451.45</v>
      </c>
      <c r="F434" s="89">
        <v>36.784068750000003</v>
      </c>
    </row>
    <row r="435" spans="2:6" x14ac:dyDescent="0.2">
      <c r="B435" s="86" t="s">
        <v>328</v>
      </c>
      <c r="C435" s="87" t="s">
        <v>113</v>
      </c>
      <c r="D435" s="88">
        <v>1810</v>
      </c>
      <c r="E435" s="89">
        <v>1780</v>
      </c>
      <c r="F435" s="89">
        <v>0.86124500000000004</v>
      </c>
    </row>
    <row r="436" spans="2:6" x14ac:dyDescent="0.2">
      <c r="B436" s="86" t="s">
        <v>356</v>
      </c>
      <c r="C436" s="87" t="s">
        <v>113</v>
      </c>
      <c r="D436" s="88">
        <v>1808.2</v>
      </c>
      <c r="E436" s="89">
        <v>1773.7</v>
      </c>
      <c r="F436" s="89">
        <v>6.0481228749999998</v>
      </c>
    </row>
    <row r="437" spans="2:6" x14ac:dyDescent="0.2">
      <c r="B437" s="86" t="s">
        <v>435</v>
      </c>
      <c r="C437" s="87" t="s">
        <v>113</v>
      </c>
      <c r="D437" s="88">
        <v>419.64400000000001</v>
      </c>
      <c r="E437" s="89">
        <v>426.1</v>
      </c>
      <c r="F437" s="89">
        <v>50.877112500000003</v>
      </c>
    </row>
    <row r="438" spans="2:6" x14ac:dyDescent="0.2">
      <c r="B438" s="86" t="s">
        <v>366</v>
      </c>
      <c r="C438" s="87" t="s">
        <v>113</v>
      </c>
      <c r="D438" s="88">
        <v>1912.8667</v>
      </c>
      <c r="E438" s="89">
        <v>1621.1</v>
      </c>
      <c r="F438" s="89">
        <v>6.4259768749999999</v>
      </c>
    </row>
    <row r="439" spans="2:6" x14ac:dyDescent="0.2">
      <c r="B439" s="86" t="s">
        <v>462</v>
      </c>
      <c r="C439" s="87" t="s">
        <v>113</v>
      </c>
      <c r="D439" s="88">
        <v>123.6973</v>
      </c>
      <c r="E439" s="89">
        <v>120.5</v>
      </c>
      <c r="F439" s="109">
        <v>935.5832640000001</v>
      </c>
    </row>
    <row r="440" spans="2:6" x14ac:dyDescent="0.2">
      <c r="B440" s="86" t="s">
        <v>432</v>
      </c>
      <c r="C440" s="87" t="s">
        <v>113</v>
      </c>
      <c r="D440" s="88">
        <v>123.79559999999999</v>
      </c>
      <c r="E440" s="89">
        <v>121.09</v>
      </c>
      <c r="F440" s="110"/>
    </row>
    <row r="441" spans="2:6" x14ac:dyDescent="0.2">
      <c r="B441" s="86" t="s">
        <v>382</v>
      </c>
      <c r="C441" s="87" t="s">
        <v>113</v>
      </c>
      <c r="D441" s="88">
        <v>674.9778</v>
      </c>
      <c r="E441" s="89">
        <v>676.85</v>
      </c>
      <c r="F441" s="89">
        <v>10.429133937</v>
      </c>
    </row>
    <row r="442" spans="2:6" x14ac:dyDescent="0.2">
      <c r="B442" s="86" t="s">
        <v>425</v>
      </c>
      <c r="C442" s="87" t="s">
        <v>113</v>
      </c>
      <c r="D442" s="88">
        <v>3167.8548999999998</v>
      </c>
      <c r="E442" s="89">
        <v>3108.6</v>
      </c>
      <c r="F442" s="89">
        <v>50.672662000000003</v>
      </c>
    </row>
    <row r="443" spans="2:6" x14ac:dyDescent="0.2">
      <c r="B443" s="86" t="s">
        <v>359</v>
      </c>
      <c r="C443" s="87" t="s">
        <v>113</v>
      </c>
      <c r="D443" s="88">
        <v>397.2833</v>
      </c>
      <c r="E443" s="89">
        <v>374.15</v>
      </c>
      <c r="F443" s="109">
        <v>13.681425000000001</v>
      </c>
    </row>
    <row r="444" spans="2:6" x14ac:dyDescent="0.2">
      <c r="B444" s="86" t="s">
        <v>377</v>
      </c>
      <c r="C444" s="87" t="s">
        <v>113</v>
      </c>
      <c r="D444" s="88">
        <v>385.08</v>
      </c>
      <c r="E444" s="89">
        <v>375.95</v>
      </c>
      <c r="F444" s="110"/>
    </row>
    <row r="445" spans="2:6" x14ac:dyDescent="0.2">
      <c r="B445" s="86" t="s">
        <v>391</v>
      </c>
      <c r="C445" s="87" t="s">
        <v>113</v>
      </c>
      <c r="D445" s="88">
        <v>415.35829999999999</v>
      </c>
      <c r="E445" s="89">
        <v>415.5</v>
      </c>
      <c r="F445" s="89">
        <v>15.366093749999999</v>
      </c>
    </row>
    <row r="446" spans="2:6" x14ac:dyDescent="0.2">
      <c r="B446" s="86" t="s">
        <v>121</v>
      </c>
      <c r="C446" s="87" t="s">
        <v>113</v>
      </c>
      <c r="D446" s="88">
        <v>1929.3471999999999</v>
      </c>
      <c r="E446" s="89">
        <v>1766.6</v>
      </c>
      <c r="F446" s="89">
        <v>53.317970999999993</v>
      </c>
    </row>
    <row r="447" spans="2:6" x14ac:dyDescent="0.2">
      <c r="B447" s="86" t="s">
        <v>414</v>
      </c>
      <c r="C447" s="87" t="s">
        <v>113</v>
      </c>
      <c r="D447" s="88">
        <v>397.97280000000001</v>
      </c>
      <c r="E447" s="89">
        <v>388.75</v>
      </c>
      <c r="F447" s="109">
        <v>37.012402811999998</v>
      </c>
    </row>
    <row r="448" spans="2:6" x14ac:dyDescent="0.2">
      <c r="B448" s="86" t="s">
        <v>381</v>
      </c>
      <c r="C448" s="87" t="s">
        <v>113</v>
      </c>
      <c r="D448" s="88">
        <v>408.16669999999999</v>
      </c>
      <c r="E448" s="89">
        <v>390.75</v>
      </c>
      <c r="F448" s="110"/>
    </row>
    <row r="449" spans="2:6" x14ac:dyDescent="0.2">
      <c r="B449" s="86" t="s">
        <v>454</v>
      </c>
      <c r="C449" s="87" t="s">
        <v>113</v>
      </c>
      <c r="D449" s="88">
        <v>242.86420000000001</v>
      </c>
      <c r="E449" s="89">
        <v>232.64</v>
      </c>
      <c r="F449" s="109">
        <v>126.19496314999999</v>
      </c>
    </row>
    <row r="450" spans="2:6" x14ac:dyDescent="0.2">
      <c r="B450" s="86" t="s">
        <v>342</v>
      </c>
      <c r="C450" s="87" t="s">
        <v>113</v>
      </c>
      <c r="D450" s="88">
        <v>233.495</v>
      </c>
      <c r="E450" s="89">
        <v>233.86</v>
      </c>
      <c r="F450" s="110"/>
    </row>
    <row r="451" spans="2:6" x14ac:dyDescent="0.2">
      <c r="B451" s="86" t="s">
        <v>426</v>
      </c>
      <c r="C451" s="87" t="s">
        <v>113</v>
      </c>
      <c r="D451" s="88">
        <v>1031.5275999999999</v>
      </c>
      <c r="E451" s="89">
        <v>965.8</v>
      </c>
      <c r="F451" s="109">
        <v>43.568345000000001</v>
      </c>
    </row>
    <row r="452" spans="2:6" x14ac:dyDescent="0.2">
      <c r="B452" s="86" t="s">
        <v>343</v>
      </c>
      <c r="C452" s="87" t="s">
        <v>113</v>
      </c>
      <c r="D452" s="88">
        <v>1001.5</v>
      </c>
      <c r="E452" s="89">
        <v>970.5</v>
      </c>
      <c r="F452" s="110"/>
    </row>
    <row r="453" spans="2:6" x14ac:dyDescent="0.2">
      <c r="B453" s="86" t="s">
        <v>117</v>
      </c>
      <c r="C453" s="87" t="s">
        <v>113</v>
      </c>
      <c r="D453" s="88">
        <v>10914.8333</v>
      </c>
      <c r="E453" s="89">
        <v>10836</v>
      </c>
      <c r="F453" s="89">
        <v>9.3558599999999998</v>
      </c>
    </row>
    <row r="454" spans="2:6" x14ac:dyDescent="0.2">
      <c r="B454" s="86" t="s">
        <v>369</v>
      </c>
      <c r="C454" s="87" t="s">
        <v>113</v>
      </c>
      <c r="D454" s="88">
        <v>1790.15</v>
      </c>
      <c r="E454" s="89">
        <v>1733.8</v>
      </c>
      <c r="F454" s="89">
        <v>5.5251540000000006</v>
      </c>
    </row>
    <row r="455" spans="2:6" x14ac:dyDescent="0.2">
      <c r="B455" s="86" t="s">
        <v>355</v>
      </c>
      <c r="C455" s="87" t="s">
        <v>113</v>
      </c>
      <c r="D455" s="88">
        <v>11070</v>
      </c>
      <c r="E455" s="89">
        <v>10919</v>
      </c>
      <c r="F455" s="109">
        <v>7.24867375</v>
      </c>
    </row>
    <row r="456" spans="2:6" x14ac:dyDescent="0.2">
      <c r="B456" s="86" t="s">
        <v>348</v>
      </c>
      <c r="C456" s="87" t="s">
        <v>113</v>
      </c>
      <c r="D456" s="88">
        <v>11170</v>
      </c>
      <c r="E456" s="89">
        <v>10981</v>
      </c>
      <c r="F456" s="110"/>
    </row>
    <row r="457" spans="2:6" x14ac:dyDescent="0.2">
      <c r="B457" s="86" t="s">
        <v>453</v>
      </c>
      <c r="C457" s="87" t="s">
        <v>113</v>
      </c>
      <c r="D457" s="88">
        <v>1224.4635000000001</v>
      </c>
      <c r="E457" s="89">
        <v>1227.8</v>
      </c>
      <c r="F457" s="109">
        <v>120.95096125000001</v>
      </c>
    </row>
    <row r="458" spans="2:6" x14ac:dyDescent="0.2">
      <c r="B458" s="86" t="s">
        <v>368</v>
      </c>
      <c r="C458" s="87" t="s">
        <v>113</v>
      </c>
      <c r="D458" s="88">
        <v>1245.2249999999999</v>
      </c>
      <c r="E458" s="89">
        <v>1234.2</v>
      </c>
      <c r="F458" s="110"/>
    </row>
    <row r="459" spans="2:6" x14ac:dyDescent="0.2">
      <c r="B459" s="86" t="s">
        <v>387</v>
      </c>
      <c r="C459" s="87" t="s">
        <v>113</v>
      </c>
      <c r="D459" s="88">
        <v>1635.65</v>
      </c>
      <c r="E459" s="89">
        <v>1676.9</v>
      </c>
      <c r="F459" s="89">
        <v>9.8653994999999988</v>
      </c>
    </row>
    <row r="460" spans="2:6" x14ac:dyDescent="0.2">
      <c r="B460" s="86" t="s">
        <v>383</v>
      </c>
      <c r="C460" s="87" t="s">
        <v>113</v>
      </c>
      <c r="D460" s="88">
        <v>1027.31</v>
      </c>
      <c r="E460" s="89">
        <v>1011.6</v>
      </c>
      <c r="F460" s="89">
        <v>9.8477999999999994</v>
      </c>
    </row>
    <row r="461" spans="2:6" x14ac:dyDescent="0.2">
      <c r="B461" s="86" t="s">
        <v>430</v>
      </c>
      <c r="C461" s="87" t="s">
        <v>113</v>
      </c>
      <c r="D461" s="88">
        <v>1371.2464</v>
      </c>
      <c r="E461" s="89">
        <v>1371.9</v>
      </c>
      <c r="F461" s="89">
        <v>46.750665125000005</v>
      </c>
    </row>
    <row r="462" spans="2:6" x14ac:dyDescent="0.2">
      <c r="B462" s="86" t="s">
        <v>378</v>
      </c>
      <c r="C462" s="87" t="s">
        <v>113</v>
      </c>
      <c r="D462" s="88">
        <v>2656.6750000000002</v>
      </c>
      <c r="E462" s="89">
        <v>2404.6</v>
      </c>
      <c r="F462" s="89">
        <v>8.5196199999999997</v>
      </c>
    </row>
    <row r="463" spans="2:6" x14ac:dyDescent="0.2">
      <c r="B463" s="86" t="s">
        <v>409</v>
      </c>
      <c r="C463" s="87" t="s">
        <v>113</v>
      </c>
      <c r="D463" s="88">
        <v>164.45330000000001</v>
      </c>
      <c r="E463" s="89">
        <v>155.46</v>
      </c>
      <c r="F463" s="89">
        <v>30.879989999999999</v>
      </c>
    </row>
    <row r="464" spans="2:6" x14ac:dyDescent="0.2">
      <c r="B464" s="86" t="s">
        <v>423</v>
      </c>
      <c r="C464" s="87" t="s">
        <v>113</v>
      </c>
      <c r="D464" s="88">
        <v>2197.5041999999999</v>
      </c>
      <c r="E464" s="89">
        <v>2204.4</v>
      </c>
      <c r="F464" s="89">
        <v>34.924176000000003</v>
      </c>
    </row>
    <row r="465" spans="2:6" x14ac:dyDescent="0.2">
      <c r="B465" s="86" t="s">
        <v>332</v>
      </c>
      <c r="C465" s="87" t="s">
        <v>113</v>
      </c>
      <c r="D465" s="88">
        <v>5370</v>
      </c>
      <c r="E465" s="89">
        <v>5171.5</v>
      </c>
      <c r="F465" s="89">
        <v>1.1444331249999999</v>
      </c>
    </row>
    <row r="466" spans="2:6" x14ac:dyDescent="0.2">
      <c r="B466" s="86" t="s">
        <v>449</v>
      </c>
      <c r="C466" s="87" t="s">
        <v>113</v>
      </c>
      <c r="D466" s="88">
        <v>200.65379999999999</v>
      </c>
      <c r="E466" s="89">
        <v>204.1</v>
      </c>
      <c r="F466" s="109">
        <v>138.24815054999999</v>
      </c>
    </row>
    <row r="467" spans="2:6" x14ac:dyDescent="0.2">
      <c r="B467" s="86" t="s">
        <v>361</v>
      </c>
      <c r="C467" s="87" t="s">
        <v>113</v>
      </c>
      <c r="D467" s="88">
        <v>210.20249999999999</v>
      </c>
      <c r="E467" s="89">
        <v>204.99</v>
      </c>
      <c r="F467" s="110"/>
    </row>
    <row r="468" spans="2:6" x14ac:dyDescent="0.2">
      <c r="B468" s="86" t="s">
        <v>457</v>
      </c>
      <c r="C468" s="87" t="s">
        <v>113</v>
      </c>
      <c r="D468" s="88">
        <v>2925.6543999999999</v>
      </c>
      <c r="E468" s="89">
        <v>2902.5</v>
      </c>
      <c r="F468" s="89">
        <v>211.11323675</v>
      </c>
    </row>
    <row r="469" spans="2:6" x14ac:dyDescent="0.2">
      <c r="B469" s="86" t="s">
        <v>402</v>
      </c>
      <c r="C469" s="87" t="s">
        <v>113</v>
      </c>
      <c r="D469" s="88">
        <v>389.57859999999999</v>
      </c>
      <c r="E469" s="89">
        <v>383</v>
      </c>
      <c r="F469" s="89">
        <v>17.569405</v>
      </c>
    </row>
    <row r="470" spans="2:6" x14ac:dyDescent="0.2">
      <c r="B470" s="90"/>
      <c r="C470" s="91"/>
      <c r="D470" s="92"/>
      <c r="E470" s="92"/>
      <c r="F470" s="92"/>
    </row>
    <row r="471" spans="2:6" x14ac:dyDescent="0.2">
      <c r="B471" s="63"/>
      <c r="C471" s="62"/>
      <c r="D471" s="62"/>
      <c r="E471" s="62"/>
      <c r="F471" s="62"/>
    </row>
    <row r="472" spans="2:6" ht="10.5" x14ac:dyDescent="0.2">
      <c r="B472" s="93" t="s">
        <v>512</v>
      </c>
      <c r="C472" s="64"/>
      <c r="D472" s="65"/>
      <c r="E472" s="66"/>
      <c r="F472" s="67"/>
    </row>
    <row r="473" spans="2:6" ht="10.5" x14ac:dyDescent="0.2">
      <c r="B473" s="62" t="s">
        <v>499</v>
      </c>
      <c r="C473" s="64"/>
      <c r="D473" s="65"/>
      <c r="E473" s="66"/>
      <c r="F473" s="67"/>
    </row>
    <row r="474" spans="2:6" ht="10.5" x14ac:dyDescent="0.2">
      <c r="B474" s="62" t="s">
        <v>485</v>
      </c>
      <c r="C474" s="64"/>
      <c r="D474" s="65"/>
      <c r="E474" s="66"/>
      <c r="F474" s="67"/>
    </row>
    <row r="475" spans="2:6" x14ac:dyDescent="0.2">
      <c r="B475" s="105" t="s">
        <v>480</v>
      </c>
      <c r="C475" s="105" t="s">
        <v>481</v>
      </c>
      <c r="D475" s="105" t="s">
        <v>482</v>
      </c>
      <c r="E475" s="105" t="s">
        <v>483</v>
      </c>
      <c r="F475" s="105" t="s">
        <v>484</v>
      </c>
    </row>
    <row r="476" spans="2:6" x14ac:dyDescent="0.2">
      <c r="B476" s="106"/>
      <c r="C476" s="106"/>
      <c r="D476" s="106"/>
      <c r="E476" s="106"/>
      <c r="F476" s="106"/>
    </row>
    <row r="477" spans="2:6" x14ac:dyDescent="0.2">
      <c r="B477" s="68">
        <v>7755</v>
      </c>
      <c r="C477" s="68">
        <v>2166</v>
      </c>
      <c r="D477" s="69">
        <v>52468.458509600023</v>
      </c>
      <c r="E477" s="95">
        <v>14669.839061000001</v>
      </c>
      <c r="F477" s="94">
        <v>1442.4254832999995</v>
      </c>
    </row>
    <row r="478" spans="2:6" x14ac:dyDescent="0.2">
      <c r="B478" s="51"/>
      <c r="E478" s="96"/>
    </row>
    <row r="479" spans="2:6" ht="10.5" x14ac:dyDescent="0.25">
      <c r="B479" s="61" t="s">
        <v>500</v>
      </c>
      <c r="C479" s="62"/>
      <c r="D479" s="62"/>
      <c r="E479" s="62"/>
      <c r="F479" s="62"/>
    </row>
    <row r="480" spans="2:6" x14ac:dyDescent="0.2">
      <c r="B480" s="63"/>
      <c r="C480" s="62"/>
      <c r="D480" s="62"/>
      <c r="E480" s="62"/>
      <c r="F480" s="62"/>
    </row>
    <row r="481" spans="2:6" ht="21" x14ac:dyDescent="0.2">
      <c r="B481" s="59" t="s">
        <v>475</v>
      </c>
      <c r="C481" s="60" t="s">
        <v>476</v>
      </c>
      <c r="D481" s="60" t="s">
        <v>477</v>
      </c>
      <c r="E481" s="60" t="s">
        <v>478</v>
      </c>
      <c r="F481" s="60" t="s">
        <v>479</v>
      </c>
    </row>
    <row r="482" spans="2:6" x14ac:dyDescent="0.2">
      <c r="B482" s="100" t="s">
        <v>101</v>
      </c>
      <c r="C482" s="101"/>
      <c r="D482" s="101"/>
      <c r="E482" s="101"/>
      <c r="F482" s="102"/>
    </row>
    <row r="483" spans="2:6" x14ac:dyDescent="0.2">
      <c r="B483" s="63" t="s">
        <v>510</v>
      </c>
      <c r="C483" s="62"/>
      <c r="D483" s="62"/>
      <c r="E483" s="62"/>
      <c r="F483" s="62"/>
    </row>
    <row r="484" spans="2:6" ht="10.5" x14ac:dyDescent="0.2">
      <c r="B484" s="62" t="s">
        <v>501</v>
      </c>
      <c r="C484" s="64"/>
      <c r="D484" s="65"/>
      <c r="E484" s="66"/>
      <c r="F484" s="67"/>
    </row>
    <row r="485" spans="2:6" ht="10.5" x14ac:dyDescent="0.2">
      <c r="B485" s="62" t="s">
        <v>485</v>
      </c>
      <c r="C485" s="64"/>
      <c r="D485" s="65"/>
      <c r="E485" s="66"/>
      <c r="F485" s="67"/>
    </row>
    <row r="486" spans="2:6" x14ac:dyDescent="0.2">
      <c r="B486" s="103" t="s">
        <v>480</v>
      </c>
      <c r="C486" s="103" t="s">
        <v>481</v>
      </c>
      <c r="D486" s="103" t="s">
        <v>482</v>
      </c>
      <c r="E486" s="103" t="s">
        <v>483</v>
      </c>
      <c r="F486" s="103" t="s">
        <v>484</v>
      </c>
    </row>
    <row r="487" spans="2:6" x14ac:dyDescent="0.2">
      <c r="B487" s="104"/>
      <c r="C487" s="104"/>
      <c r="D487" s="104"/>
      <c r="E487" s="104"/>
      <c r="F487" s="104"/>
    </row>
    <row r="488" spans="2:6" x14ac:dyDescent="0.2">
      <c r="B488" s="112" t="s">
        <v>101</v>
      </c>
      <c r="C488" s="113"/>
      <c r="D488" s="113"/>
      <c r="E488" s="113"/>
      <c r="F488" s="114"/>
    </row>
    <row r="489" spans="2:6" x14ac:dyDescent="0.2">
      <c r="B489" s="70"/>
      <c r="C489" s="71"/>
      <c r="D489" s="71"/>
      <c r="E489" s="71"/>
      <c r="F489" s="10"/>
    </row>
    <row r="490" spans="2:6" ht="10.5" x14ac:dyDescent="0.2">
      <c r="B490" s="72" t="s">
        <v>502</v>
      </c>
      <c r="C490" s="73"/>
      <c r="D490" s="73"/>
      <c r="E490" s="74"/>
      <c r="F490" s="10"/>
    </row>
    <row r="491" spans="2:6" ht="10.5" x14ac:dyDescent="0.2">
      <c r="B491" s="75"/>
      <c r="C491" s="73"/>
      <c r="D491" s="73"/>
      <c r="E491" s="74"/>
      <c r="F491" s="10"/>
    </row>
    <row r="492" spans="2:6" ht="21" x14ac:dyDescent="0.2">
      <c r="B492" s="59" t="s">
        <v>475</v>
      </c>
      <c r="C492" s="60" t="s">
        <v>486</v>
      </c>
      <c r="D492" s="60" t="s">
        <v>487</v>
      </c>
      <c r="E492" s="60" t="s">
        <v>488</v>
      </c>
      <c r="F492" s="10"/>
    </row>
    <row r="493" spans="2:6" x14ac:dyDescent="0.2">
      <c r="B493" s="100" t="s">
        <v>101</v>
      </c>
      <c r="C493" s="101"/>
      <c r="D493" s="101"/>
      <c r="E493" s="102"/>
      <c r="F493" s="10"/>
    </row>
    <row r="494" spans="2:6" x14ac:dyDescent="0.2">
      <c r="B494" s="63" t="s">
        <v>489</v>
      </c>
      <c r="C494" s="62"/>
      <c r="D494" s="62"/>
      <c r="E494" s="62"/>
      <c r="F494" s="10"/>
    </row>
    <row r="495" spans="2:6" x14ac:dyDescent="0.2">
      <c r="B495" s="76"/>
      <c r="C495" s="77"/>
      <c r="D495" s="77"/>
      <c r="E495" s="76"/>
      <c r="F495" s="10"/>
    </row>
    <row r="496" spans="2:6" x14ac:dyDescent="0.2">
      <c r="B496" s="76" t="s">
        <v>503</v>
      </c>
      <c r="C496" s="77"/>
      <c r="D496" s="77"/>
      <c r="E496" s="76"/>
      <c r="F496" s="10"/>
    </row>
    <row r="497" spans="2:6" x14ac:dyDescent="0.2">
      <c r="B497" s="76"/>
      <c r="C497" s="77"/>
      <c r="D497" s="77"/>
      <c r="E497" s="76"/>
      <c r="F497" s="10"/>
    </row>
    <row r="498" spans="2:6" x14ac:dyDescent="0.2">
      <c r="B498" s="103" t="s">
        <v>490</v>
      </c>
      <c r="C498" s="103" t="s">
        <v>491</v>
      </c>
      <c r="D498" s="103" t="s">
        <v>492</v>
      </c>
      <c r="E498" s="76"/>
      <c r="F498" s="10"/>
    </row>
    <row r="499" spans="2:6" x14ac:dyDescent="0.2">
      <c r="B499" s="104"/>
      <c r="C499" s="104"/>
      <c r="D499" s="104"/>
      <c r="E499" s="76"/>
      <c r="F499" s="10"/>
    </row>
    <row r="500" spans="2:6" x14ac:dyDescent="0.2">
      <c r="B500" s="107" t="s">
        <v>101</v>
      </c>
      <c r="C500" s="107"/>
      <c r="D500" s="107"/>
      <c r="E500" s="71"/>
      <c r="F500" s="10"/>
    </row>
    <row r="501" spans="2:6" x14ac:dyDescent="0.2">
      <c r="B501" s="78"/>
      <c r="C501" s="78"/>
      <c r="D501" s="78"/>
      <c r="E501" s="71"/>
      <c r="F501" s="10"/>
    </row>
    <row r="502" spans="2:6" ht="10.5" x14ac:dyDescent="0.2">
      <c r="B502" s="72" t="s">
        <v>504</v>
      </c>
      <c r="C502" s="78"/>
      <c r="D502" s="78"/>
      <c r="E502" s="71"/>
      <c r="F502" s="10"/>
    </row>
    <row r="503" spans="2:6" x14ac:dyDescent="0.2">
      <c r="B503" s="78"/>
      <c r="C503" s="78"/>
      <c r="D503" s="78"/>
      <c r="E503" s="71"/>
      <c r="F503" s="10"/>
    </row>
    <row r="504" spans="2:6" ht="21" x14ac:dyDescent="0.2">
      <c r="B504" s="60" t="s">
        <v>475</v>
      </c>
      <c r="C504" s="60" t="s">
        <v>493</v>
      </c>
      <c r="D504" s="60" t="s">
        <v>494</v>
      </c>
      <c r="E504" s="60" t="s">
        <v>495</v>
      </c>
      <c r="F504" s="60" t="s">
        <v>496</v>
      </c>
    </row>
    <row r="505" spans="2:6" x14ac:dyDescent="0.2">
      <c r="B505" s="108" t="s">
        <v>101</v>
      </c>
      <c r="C505" s="108"/>
      <c r="D505" s="108"/>
      <c r="E505" s="108"/>
      <c r="F505" s="108"/>
    </row>
    <row r="506" spans="2:6" x14ac:dyDescent="0.2">
      <c r="B506" s="79" t="s">
        <v>497</v>
      </c>
      <c r="C506" s="78"/>
      <c r="D506" s="78"/>
      <c r="E506" s="71"/>
      <c r="F506" s="10"/>
    </row>
    <row r="507" spans="2:6" x14ac:dyDescent="0.2">
      <c r="B507" s="78"/>
      <c r="C507" s="78"/>
      <c r="D507" s="78"/>
      <c r="E507" s="71"/>
      <c r="F507" s="10"/>
    </row>
    <row r="508" spans="2:6" x14ac:dyDescent="0.2">
      <c r="B508" s="76" t="s">
        <v>505</v>
      </c>
      <c r="C508" s="77"/>
      <c r="D508" s="77"/>
      <c r="E508" s="71"/>
      <c r="F508" s="10"/>
    </row>
    <row r="509" spans="2:6" x14ac:dyDescent="0.2">
      <c r="B509" s="76"/>
      <c r="C509" s="77"/>
      <c r="D509" s="77"/>
      <c r="E509" s="71"/>
      <c r="F509" s="10"/>
    </row>
    <row r="510" spans="2:6" x14ac:dyDescent="0.2">
      <c r="B510" s="103" t="s">
        <v>490</v>
      </c>
      <c r="C510" s="103" t="s">
        <v>491</v>
      </c>
      <c r="D510" s="103" t="s">
        <v>492</v>
      </c>
      <c r="E510" s="71"/>
      <c r="F510" s="10"/>
    </row>
    <row r="511" spans="2:6" x14ac:dyDescent="0.2">
      <c r="B511" s="104"/>
      <c r="C511" s="104"/>
      <c r="D511" s="104"/>
      <c r="E511" s="71"/>
      <c r="F511" s="10"/>
    </row>
    <row r="512" spans="2:6" x14ac:dyDescent="0.2">
      <c r="B512" s="107" t="s">
        <v>101</v>
      </c>
      <c r="C512" s="107"/>
      <c r="D512" s="107"/>
      <c r="E512" s="71"/>
      <c r="F512" s="10"/>
    </row>
    <row r="513" spans="2:6" x14ac:dyDescent="0.2">
      <c r="B513" s="78"/>
      <c r="C513" s="78"/>
      <c r="D513" s="78"/>
      <c r="E513" s="71"/>
      <c r="F513" s="10"/>
    </row>
    <row r="514" spans="2:6" ht="10.5" x14ac:dyDescent="0.2">
      <c r="B514" s="80" t="s">
        <v>506</v>
      </c>
      <c r="C514" s="78"/>
      <c r="D514" s="78"/>
      <c r="E514" s="71"/>
      <c r="F514" s="10"/>
    </row>
    <row r="515" spans="2:6" x14ac:dyDescent="0.2">
      <c r="B515" s="51"/>
    </row>
    <row r="516" spans="2:6" x14ac:dyDescent="0.2">
      <c r="B516" s="51"/>
    </row>
    <row r="517" spans="2:6" x14ac:dyDescent="0.2">
      <c r="B517" s="51" t="s">
        <v>507</v>
      </c>
    </row>
    <row r="518" spans="2:6" x14ac:dyDescent="0.2">
      <c r="B518" s="55" t="s">
        <v>513</v>
      </c>
    </row>
    <row r="519" spans="2:6" x14ac:dyDescent="0.2">
      <c r="B519" s="51" t="s">
        <v>508</v>
      </c>
    </row>
    <row r="525" spans="2:6" ht="10.5" x14ac:dyDescent="0.25">
      <c r="B525" s="11" t="s">
        <v>128</v>
      </c>
    </row>
    <row r="543" spans="2:2" ht="10.5" x14ac:dyDescent="0.2">
      <c r="B543" s="49" t="s">
        <v>464</v>
      </c>
    </row>
    <row r="544" spans="2:2" ht="10.5" x14ac:dyDescent="0.25">
      <c r="B544" s="50" t="s">
        <v>465</v>
      </c>
    </row>
  </sheetData>
  <mergeCells count="56">
    <mergeCell ref="B512:D512"/>
    <mergeCell ref="F322:F323"/>
    <mergeCell ref="F327:F328"/>
    <mergeCell ref="F334:F335"/>
    <mergeCell ref="F336:F337"/>
    <mergeCell ref="F339:F340"/>
    <mergeCell ref="F344:F345"/>
    <mergeCell ref="F348:F349"/>
    <mergeCell ref="F350:F351"/>
    <mergeCell ref="F358:F359"/>
    <mergeCell ref="F364:F365"/>
    <mergeCell ref="F370:F371"/>
    <mergeCell ref="F372:F373"/>
    <mergeCell ref="F376:F377"/>
    <mergeCell ref="F380:F381"/>
    <mergeCell ref="F382:F383"/>
    <mergeCell ref="B500:D500"/>
    <mergeCell ref="B505:F505"/>
    <mergeCell ref="B510:B511"/>
    <mergeCell ref="C510:C511"/>
    <mergeCell ref="D510:D511"/>
    <mergeCell ref="B488:F488"/>
    <mergeCell ref="B493:E493"/>
    <mergeCell ref="B498:B499"/>
    <mergeCell ref="C498:C499"/>
    <mergeCell ref="D498:D499"/>
    <mergeCell ref="B482:F482"/>
    <mergeCell ref="B486:B487"/>
    <mergeCell ref="C486:C487"/>
    <mergeCell ref="D486:D487"/>
    <mergeCell ref="E486:E487"/>
    <mergeCell ref="F486:F487"/>
    <mergeCell ref="B475:B476"/>
    <mergeCell ref="C475:C476"/>
    <mergeCell ref="D475:D476"/>
    <mergeCell ref="E475:E476"/>
    <mergeCell ref="F475:F476"/>
    <mergeCell ref="F466:F467"/>
    <mergeCell ref="F443:F444"/>
    <mergeCell ref="F447:F448"/>
    <mergeCell ref="F449:F450"/>
    <mergeCell ref="F451:F452"/>
    <mergeCell ref="F455:F456"/>
    <mergeCell ref="F457:F458"/>
    <mergeCell ref="F429:F430"/>
    <mergeCell ref="F439:F440"/>
    <mergeCell ref="F424:F425"/>
    <mergeCell ref="F432:F433"/>
    <mergeCell ref="F408:F409"/>
    <mergeCell ref="B1:C1"/>
    <mergeCell ref="F319:F320"/>
    <mergeCell ref="F404:F406"/>
    <mergeCell ref="F415:F416"/>
    <mergeCell ref="F392:F393"/>
    <mergeCell ref="F402:F403"/>
    <mergeCell ref="F384:F385"/>
  </mergeCells>
  <conditionalFormatting sqref="G1:G3">
    <cfRule type="cellIs" dxfId="1" priority="3" stopIfTrue="1" operator="between">
      <formula>0.009</formula>
      <formula>-0.009</formula>
    </cfRule>
  </conditionalFormatting>
  <conditionalFormatting sqref="G5:G562">
    <cfRule type="cellIs" dxfId="0" priority="2" stopIfTrue="1" operator="between">
      <formula>0.009</formula>
      <formula>-0.009</formula>
    </cfRule>
  </conditionalFormatting>
  <hyperlinks>
    <hyperlink ref="A2" location="Index!A1" display="-" xr:uid="{B807A1F1-148F-4FE2-8FDC-0104F67DE4CB}"/>
  </hyperlinks>
  <pageMargins left="0.7" right="0.7" top="0.75" bottom="0.75" header="0.3" footer="0.3"/>
  <pageSetup paperSize="9" scale="12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JBARB</vt:lpstr>
      <vt:lpstr>JBARB!Print_Area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2026-10-08T14:21:24Z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