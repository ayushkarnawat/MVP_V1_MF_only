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TMF Half Yearly Portfolio March 26\Ops\"/>
    </mc:Choice>
  </mc:AlternateContent>
  <xr:revisionPtr revIDLastSave="0" documentId="13_ncr:1_{E176EE69-DC26-4E21-924D-83B1BE399ED2}" xr6:coauthVersionLast="47" xr6:coauthVersionMax="47" xr10:uidLastSave="{00000000-0000-0000-0000-000000000000}"/>
  <bookViews>
    <workbookView xWindow="-120" yWindow="-120" windowWidth="20730" windowHeight="11040" activeTab="1" xr2:uid="{CBBF5DC4-84DD-498D-8C0A-CB386A1ACFEC}"/>
  </bookViews>
  <sheets>
    <sheet name="TBF" sheetId="1" r:id="rId1"/>
    <sheet name="TBF Performance" sheetId="2" r:id="rId2"/>
    <sheet name="Annexure" sheetId="3" r:id="rId3"/>
  </sheets>
  <externalReferences>
    <externalReference r:id="rId4"/>
  </externalReferences>
  <definedNames>
    <definedName name="XDO_?AUM?">TBF!$H$13</definedName>
    <definedName name="XDO_?CLASS_3?">TBF!$C$8:$C$43</definedName>
    <definedName name="XDO_?CLASS_4?">TBF!$C$9</definedName>
    <definedName name="XDO_?CS_1?">TBF!$H$11</definedName>
    <definedName name="XDO_?CS_2?">TBF!$I$11</definedName>
    <definedName name="XDO_?FINAL_ISIN?">TBF!$D$10:$D$87</definedName>
    <definedName name="XDO_?FINAL_MV?">TBF!$H$10:$H$87</definedName>
    <definedName name="XDO_?FINAL_NAME?">TBF!$C$10:$C$87</definedName>
    <definedName name="XDO_?FINAL_PER_NET?">TBF!$I$10:$I$87</definedName>
    <definedName name="XDO_?FINAL_QUANTITE?">TBF!$G$10:$G$87</definedName>
    <definedName name="XDO_?IND_01?">TBF!$F$10:$F$87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TBF!$C$2:$C$43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TBF!$B$10:$B$87</definedName>
    <definedName name="XDO_?NPTF?">TBF!$D$2:$D$43</definedName>
    <definedName name="XDO_?RATING?">TBF!$E$10:$E$87</definedName>
    <definedName name="XDO_?REMARKS?">TBF!$J$10:$J$87</definedName>
    <definedName name="XDO_?TDATE?">TBF!$D$4</definedName>
    <definedName name="XDO_?TITL?">TBF!$A$8:$A$43</definedName>
    <definedName name="XDO_GROUP_?G_2?">TBF!$2:$90</definedName>
    <definedName name="XDO_GROUP_?G_3?">TBF!$8:$89</definedName>
    <definedName name="XDO_GROUP_?G_4?">TBF!$B$87:$IV$87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</calcChain>
</file>

<file path=xl/sharedStrings.xml><?xml version="1.0" encoding="utf-8"?>
<sst xmlns="http://schemas.openxmlformats.org/spreadsheetml/2006/main" count="301" uniqueCount="226">
  <si>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</si>
  <si>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</si>
  <si>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</si>
  <si>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</si>
  <si>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</si>
  <si>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</si>
  <si>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</si>
  <si>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</si>
  <si>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</si>
  <si>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</si>
  <si>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</si>
  <si>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</si>
  <si>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</si>
  <si>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</si>
  <si>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</si>
  <si>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</si>
  <si>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</si>
  <si>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</si>
  <si>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</si>
  <si>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</si>
  <si>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</si>
  <si>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</si>
  <si>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</si>
  <si>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</si>
  <si>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</si>
  <si>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</si>
  <si>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</si>
  <si>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</si>
  <si>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</si>
  <si>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</si>
  <si>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</si>
  <si>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</si>
  <si>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</si>
  <si>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</si>
  <si>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</si>
  <si>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</si>
  <si>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</si>
  <si>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100182</t>
  </si>
  <si>
    <t>Power Grid Corporation of India Ltd.</t>
  </si>
  <si>
    <t>INE752E01010</t>
  </si>
  <si>
    <t>Power</t>
  </si>
  <si>
    <t>100111</t>
  </si>
  <si>
    <t>Oil &amp; Natural Gas Corporation Ltd.</t>
  </si>
  <si>
    <t>INE213A01029</t>
  </si>
  <si>
    <t>Oil</t>
  </si>
  <si>
    <t>100002</t>
  </si>
  <si>
    <t>Reliance Industries Ltd.</t>
  </si>
  <si>
    <t>INE002A01018</t>
  </si>
  <si>
    <t>Petroleum Products</t>
  </si>
  <si>
    <t>101184</t>
  </si>
  <si>
    <t>Mazagon Dock Shipbuilders Ltd.</t>
  </si>
  <si>
    <t>INE249Z01020</t>
  </si>
  <si>
    <t>Industrial Manufacturing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</si>
  <si>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</si>
  <si>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</si>
  <si>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</si>
  <si>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</si>
  <si>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</si>
  <si>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</si>
  <si>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</si>
  <si>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</si>
  <si>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100302</t>
  </si>
  <si>
    <t>DLF Ltd.</t>
  </si>
  <si>
    <t>INE271C01023</t>
  </si>
  <si>
    <t>Realty</t>
  </si>
  <si>
    <t>100024</t>
  </si>
  <si>
    <t>Axis Bank Ltd.</t>
  </si>
  <si>
    <t>INE238A01034</t>
  </si>
  <si>
    <t>100138</t>
  </si>
  <si>
    <t>PVR Inox Ltd.</t>
  </si>
  <si>
    <t>INE191H01014</t>
  </si>
  <si>
    <t>Entertainment</t>
  </si>
  <si>
    <t>102678</t>
  </si>
  <si>
    <t>TATA Capital Ltd.</t>
  </si>
  <si>
    <t>INE976I01016</t>
  </si>
  <si>
    <t>Finance</t>
  </si>
  <si>
    <t>100814</t>
  </si>
  <si>
    <t>HDFC Asset Management Co. Ltd.</t>
  </si>
  <si>
    <t>INE127D01025</t>
  </si>
  <si>
    <t>Capital Markets</t>
  </si>
  <si>
    <t>100097</t>
  </si>
  <si>
    <t>Coal India Ltd.</t>
  </si>
  <si>
    <t>INE522F01014</t>
  </si>
  <si>
    <t>Consumable Fuels</t>
  </si>
  <si>
    <t>100177</t>
  </si>
  <si>
    <t>Grasim Industries Ltd.</t>
  </si>
  <si>
    <t>INE047A01021</t>
  </si>
  <si>
    <t>Cement &amp; Cement Products</t>
  </si>
  <si>
    <t>100194</t>
  </si>
  <si>
    <t>Power Finance Corporation Ltd.</t>
  </si>
  <si>
    <t>INE134E01011</t>
  </si>
  <si>
    <t>100222</t>
  </si>
  <si>
    <t>The Indian Hotels Company Ltd.</t>
  </si>
  <si>
    <t>INE053A01029</t>
  </si>
  <si>
    <t>Leisure Services</t>
  </si>
  <si>
    <t>100260</t>
  </si>
  <si>
    <t>Solar Industries India Ltd.</t>
  </si>
  <si>
    <t>INE343H01029</t>
  </si>
  <si>
    <t>Chemicals &amp; Petrochemicals</t>
  </si>
  <si>
    <t>100677</t>
  </si>
  <si>
    <t>Dixon Technologies (India) Ltd.</t>
  </si>
  <si>
    <t>INE935N01020</t>
  </si>
  <si>
    <t>Consumer Durables</t>
  </si>
  <si>
    <t>100733</t>
  </si>
  <si>
    <t>General Insurance Corporation of India</t>
  </si>
  <si>
    <t>INE481Y01014</t>
  </si>
  <si>
    <t>Insurance</t>
  </si>
  <si>
    <t>100280</t>
  </si>
  <si>
    <t>TVS Motor Company Ltd.</t>
  </si>
  <si>
    <t>INE494B01023</t>
  </si>
  <si>
    <t>100125</t>
  </si>
  <si>
    <t>Bajaj Finance Ltd.</t>
  </si>
  <si>
    <t>INE296A01032</t>
  </si>
  <si>
    <t>100081</t>
  </si>
  <si>
    <t>Titan Company Ltd.</t>
  </si>
  <si>
    <t>INE280A01028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</si>
  <si>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</si>
  <si>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</si>
  <si>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</si>
  <si>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</si>
  <si>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</si>
  <si>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</si>
  <si>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100474</t>
  </si>
  <si>
    <t>Narayana Hrudayalaya Ltd.</t>
  </si>
  <si>
    <t>INE410P01011</t>
  </si>
  <si>
    <t>Healthcare Services</t>
  </si>
  <si>
    <t>100573</t>
  </si>
  <si>
    <t>Chennai Petroleum Corporation Ltd.</t>
  </si>
  <si>
    <t>INE178A01016</t>
  </si>
  <si>
    <t>100388</t>
  </si>
  <si>
    <t>Balrampur Chini Mills Ltd.</t>
  </si>
  <si>
    <t>INE119A01028</t>
  </si>
  <si>
    <t>Agricultural Food &amp; other Products</t>
  </si>
  <si>
    <t>100150</t>
  </si>
  <si>
    <t>Apollo Hospitals Enterprise Ltd.</t>
  </si>
  <si>
    <t>INE437A01024</t>
  </si>
  <si>
    <t>100830</t>
  </si>
  <si>
    <t>Varun Beverages Ltd.</t>
  </si>
  <si>
    <t>INE200M01039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</si>
  <si>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</si>
  <si>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</si>
  <si>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</si>
  <si>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</si>
  <si>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</si>
  <si>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</si>
  <si>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</si>
  <si>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</si>
  <si>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</si>
  <si>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</si>
  <si>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</si>
  <si>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</si>
  <si>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</si>
  <si>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</si>
  <si>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</si>
  <si>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</si>
  <si>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</si>
  <si>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</si>
  <si>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</si>
  <si>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</si>
  <si>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</si>
  <si>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</si>
  <si>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</si>
  <si>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</si>
  <si>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</si>
  <si>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</si>
  <si>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</si>
  <si>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</si>
  <si>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</si>
  <si>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</si>
  <si>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</si>
  <si>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</si>
  <si>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</si>
  <si>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</si>
  <si>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</si>
  <si>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                September 30, 2025</t>
  </si>
  <si>
    <t>As on                               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</si>
  <si>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</si>
  <si>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</si>
  <si>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</si>
  <si>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</si>
  <si>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half year ended as on March 31, 2026.</t>
  </si>
  <si>
    <t>7. The Scheme did not declare any bonus during the half year ended as on March 31, 2026.</t>
  </si>
  <si>
    <t>8. Total outstanding exposure in derivative instruments as on March 31, 2026 is Nil.</t>
  </si>
  <si>
    <t>9. Total investments in Foreign Securities /ADRs/GDRs /Overseas ETFs as on March 31, 2026 and its percentage to NAV is Nil.</t>
  </si>
  <si>
    <t>10. During the period, the portfolio turnover ratio is 0.91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</si>
  <si>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</si>
  <si>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half year ended as on March 31, 2026.</t>
  </si>
  <si>
    <t>12. The Scheme did not invest in credit default swaps during the half year ended as on March 31, 2026.</t>
  </si>
  <si>
    <t>13. There are Nil instances of deviation from the valuation principles/guidelines during the half year ended as on March 31st, 2026.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</si>
  <si>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</si>
  <si>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</si>
  <si>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</si>
  <si>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</si>
  <si>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</si>
  <si>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</si>
  <si>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</si>
  <si>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</si>
  <si>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</si>
  <si>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</si>
  <si>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</si>
  <si>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-</t>
  </si>
  <si>
    <t>Nifty 50 TRI (Additional Benchmark)</t>
  </si>
  <si>
    <t>NAV [Rs.] Per Unit (as on March 30,2026 :143.75)</t>
  </si>
  <si>
    <t>Taurus Largecap Fund - Direct Plan Growth Option</t>
  </si>
  <si>
    <t>NAV [Rs.] Per Unit (as on March 30,2026 :152.3)</t>
  </si>
  <si>
    <t>Taurus Mutual Fund</t>
  </si>
  <si>
    <t>Disclosure for investments in derivative instruments</t>
  </si>
  <si>
    <t>Hedging Positions through Futures as on March 31st, 2026 : Nil</t>
  </si>
  <si>
    <t>For the period 01st October 2025 to 31st March 2026, following hedging transactions through futures have been squared off/expired :</t>
  </si>
  <si>
    <t xml:space="preserve">Scheme </t>
  </si>
  <si>
    <t>Total Number of contracts where futures were Sold (opening balance)</t>
  </si>
  <si>
    <t>Total Number of contracts where futures were bought</t>
  </si>
  <si>
    <t>Total Number of contracts where futures were sold</t>
  </si>
  <si>
    <t>Gross Notional Value of contracts where futures were Sold (opening balance)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</si>
  <si>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</si>
  <si>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</si>
  <si>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</si>
  <si>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March 31st, 2026 : Nil</t>
  </si>
  <si>
    <t>For the period 01st October 2025 to 31st March 2026, following non-hedging transactions through futures have been squared off/expired : Nil</t>
  </si>
  <si>
    <t>Hedging Position through Put Option as on March 31st, 2026 : Nil</t>
  </si>
  <si>
    <t>For the period 01st October 2025 to 31st March 2026, hedging transactions through options which have been exercised/expired : Nil</t>
  </si>
  <si>
    <t>Other than Hedging Positions through Options as on March 31st, 2026 : Nil</t>
  </si>
  <si>
    <t>For the period 01st October 2025 to 31st March 2026, non-hedging transactions through options have been exercised/expired : Nil</t>
  </si>
  <si>
    <t>Hedging Positions through Swaps as on March 31st, 2026 : Nil</t>
  </si>
  <si>
    <t>For the period 01st October 2025 to 31st March 2026, hedging transactions through Swaps which have been squared off/expired : Nil</t>
  </si>
  <si>
    <t>Note : In case of derivative transactions end of the day position on the date of such transaction is considered as the basis to assess the nature of transaction as hedge /  non-hedge.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</si>
</sst>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  <numFmt numFmtId="170" formatCode="_(* #,##0.00_);_(* \(#,##0.00\);_(* &quot;-&quot;_);_(* 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4" fontId="3" fillId="0" borderId="0" xfId="1" applyNumberFormat="1" applyFont="1"/>
    <xf numFmtId="0" fontId="11" fillId="0" borderId="13" xfId="0" applyFont="1" applyBorder="1"/>
    <xf numFmtId="0" fontId="10" fillId="0" borderId="13" xfId="0" applyFont="1" applyBorder="1"/>
    <xf numFmtId="0" fontId="6" fillId="0" borderId="13" xfId="0" applyFont="1" applyBorder="1" applyAlignment="1">
      <alignment horizontal="center" wrapText="1"/>
    </xf>
    <xf numFmtId="168" fontId="11" fillId="0" borderId="13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0" fontId="15" fillId="0" borderId="13" xfId="0" applyFont="1" applyBorder="1"/>
    <xf numFmtId="0" fontId="16" fillId="0" borderId="0" xfId="0" applyFont="1"/>
    <xf numFmtId="0" fontId="16" fillId="0" borderId="0" xfId="4" applyFont="1"/>
    <xf numFmtId="0" fontId="17" fillId="0" borderId="21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/>
    </xf>
    <xf numFmtId="10" fontId="16" fillId="0" borderId="0" xfId="0" applyNumberFormat="1" applyFont="1"/>
    <xf numFmtId="170" fontId="16" fillId="0" borderId="0" xfId="0" applyNumberFormat="1" applyFont="1"/>
    <xf numFmtId="0" fontId="16" fillId="0" borderId="0" xfId="0" applyFont="1" applyAlignment="1">
      <alignment vertical="top" wrapText="1"/>
    </xf>
    <xf numFmtId="165" fontId="16" fillId="0" borderId="0" xfId="6" applyNumberFormat="1" applyFont="1" applyFill="1" applyBorder="1" applyAlignment="1">
      <alignment vertical="top" wrapText="1"/>
    </xf>
    <xf numFmtId="10" fontId="16" fillId="0" borderId="0" xfId="7" applyNumberFormat="1" applyFont="1" applyFill="1"/>
    <xf numFmtId="164" fontId="16" fillId="0" borderId="0" xfId="6" applyFont="1" applyFill="1"/>
    <xf numFmtId="0" fontId="11" fillId="0" borderId="0" xfId="0" applyFont="1"/>
    <xf numFmtId="10" fontId="11" fillId="0" borderId="0" xfId="7" applyNumberFormat="1" applyFont="1" applyFill="1"/>
    <xf numFmtId="0" fontId="10" fillId="0" borderId="13" xfId="0" applyFon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8">
    <cellStyle name="Comma" xfId="1" builtinId="3"/>
    <cellStyle name="Comma 2" xfId="5" xr:uid="{0F4F2B04-9870-4663-BFB2-C009100AE19E}"/>
    <cellStyle name="Comma 2 2" xfId="6" xr:uid="{65104878-1357-49CA-B462-0A3F8E030E9A}"/>
    <cellStyle name="Hyperlink" xfId="2" builtinId="8"/>
    <cellStyle name="Normal" xfId="0" builtinId="0"/>
    <cellStyle name="Normal 2" xfId="4" xr:uid="{8B372055-99B1-4E29-829F-24B28DBA3116}"/>
    <cellStyle name="Percent 2" xfId="7" xr:uid="{756A234A-936C-4C82-82E2-823713858EBA}"/>
    <cellStyle name="Style 1" xfId="3" xr:uid="{E38EFEC3-A3CA-42E7-9C6F-940408D48D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1358871</xdr:colOff>
      <xdr:row>0</xdr:row>
      <xdr:rowOff>1862666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CC93E-256A-4A65-88AC-6D55902AF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8375621" cy="18626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5-26\March%202026\Half%20Yearly%20Portfolio\Final%20Report\TMF_Half%20Yearly_Portfolio_Report_March%202026.xls" TargetMode="External"/><Relationship Id="rId1" Type="http://schemas.openxmlformats.org/officeDocument/2006/relationships/externalLinkPath" Target="file:///Q:\5.TMF\Reporting\Half%20Yearly%20Reports\2025-26\March%202026\Half%20Yearly%20Portfolio\Final%20Report\TMF_Half%20Year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898A-0112-40D2-B8E9-3411879CE877}">
  <sheetPr codeName="Sheet1"/>
  <dimension ref="A1:BB116"/>
  <sheetViews>
    <sheetView showGridLines="0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23.42578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3.42578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3.42578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3.42578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3.42578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3.42578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3.42578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3.42578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3.42578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3.42578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3.42578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3.42578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3.42578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3.42578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3.42578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3.42578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3.42578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3.42578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3.42578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3.42578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3.42578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3.42578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3.42578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3.42578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3.42578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3.42578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3.42578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3.42578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3.42578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3.42578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3.42578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3.42578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3.42578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3.42578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3.42578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3.42578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3.42578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3.42578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3.42578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3.42578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3.42578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3.42578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3.42578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3.42578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3.42578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3.42578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3.42578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3.42578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3.42578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3.42578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3.42578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3.42578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3.42578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3.42578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3.42578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3.42578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3.42578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3.42578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3.42578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3.42578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3.42578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3.42578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3.42578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3.42578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4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152721</v>
      </c>
      <c r="H10" s="32">
        <v>439.38</v>
      </c>
      <c r="I10" s="32">
        <v>9.48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6018</v>
      </c>
      <c r="H11" s="32">
        <v>357.86</v>
      </c>
      <c r="I11" s="32">
        <v>7.72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47677</v>
      </c>
      <c r="H12" s="32">
        <v>348.9</v>
      </c>
      <c r="I12" s="32">
        <v>7.53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24392</v>
      </c>
      <c r="H13" s="32">
        <v>293.97000000000003</v>
      </c>
      <c r="I13" s="32">
        <v>6.34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26</v>
      </c>
      <c r="G14" s="31">
        <v>24204</v>
      </c>
      <c r="H14" s="32">
        <v>237.15</v>
      </c>
      <c r="I14" s="32">
        <v>5.12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12779</v>
      </c>
      <c r="H15" s="32">
        <v>228.02</v>
      </c>
      <c r="I15" s="32">
        <v>4.92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58197</v>
      </c>
      <c r="H16" s="32">
        <v>172.38</v>
      </c>
      <c r="I16" s="32">
        <v>3.72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55738</v>
      </c>
      <c r="H17" s="32">
        <v>158.63</v>
      </c>
      <c r="I17" s="32">
        <v>3.42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11541</v>
      </c>
      <c r="H18" s="32">
        <v>155.13999999999999</v>
      </c>
      <c r="I18" s="32">
        <v>3.35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7390</v>
      </c>
      <c r="H19" s="32">
        <v>152.54</v>
      </c>
      <c r="I19" s="32">
        <v>3.29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9885</v>
      </c>
      <c r="H20" s="32">
        <v>132.57</v>
      </c>
      <c r="I20" s="32">
        <v>2.86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4380</v>
      </c>
      <c r="H21" s="32">
        <v>129.47999999999999</v>
      </c>
      <c r="I21" s="32">
        <v>2.79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23778</v>
      </c>
      <c r="H22" s="32">
        <v>119.77</v>
      </c>
      <c r="I22" s="32">
        <v>2.58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26</v>
      </c>
      <c r="G23" s="31">
        <v>10176</v>
      </c>
      <c r="H23" s="32">
        <v>118.24</v>
      </c>
      <c r="I23" s="32">
        <v>2.5499999999999998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12749</v>
      </c>
      <c r="H24" s="32">
        <v>117.13</v>
      </c>
      <c r="I24" s="32">
        <v>2.5299999999999998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36598</v>
      </c>
      <c r="H25" s="32">
        <v>111.79</v>
      </c>
      <c r="I25" s="32">
        <v>2.41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4969</v>
      </c>
      <c r="H26" s="32">
        <v>110.15</v>
      </c>
      <c r="I26" s="32">
        <v>2.38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23390</v>
      </c>
      <c r="H27" s="32">
        <v>105.31</v>
      </c>
      <c r="I27" s="32">
        <v>2.27</v>
      </c>
      <c r="J27" s="33"/>
    </row>
    <row r="28" spans="2:10" x14ac:dyDescent="0.25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3430</v>
      </c>
      <c r="H28" s="32">
        <v>87.65</v>
      </c>
      <c r="I28" s="32">
        <v>1.89</v>
      </c>
      <c r="J28" s="33"/>
    </row>
    <row r="29" spans="2:10" x14ac:dyDescent="0.25">
      <c r="B29" s="1" t="s">
        <v>88</v>
      </c>
      <c r="C29" s="20" t="s">
        <v>89</v>
      </c>
      <c r="D29" s="29" t="s">
        <v>90</v>
      </c>
      <c r="E29" s="30"/>
      <c r="F29" s="30" t="s">
        <v>75</v>
      </c>
      <c r="G29" s="31">
        <v>22408</v>
      </c>
      <c r="H29" s="32">
        <v>85.07</v>
      </c>
      <c r="I29" s="32">
        <v>1.83</v>
      </c>
      <c r="J29" s="33"/>
    </row>
    <row r="30" spans="2:10" x14ac:dyDescent="0.25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14700</v>
      </c>
      <c r="H30" s="32">
        <v>83.9</v>
      </c>
      <c r="I30" s="32">
        <v>1.81</v>
      </c>
      <c r="J30" s="33"/>
    </row>
    <row r="31" spans="2:10" x14ac:dyDescent="0.25">
      <c r="B31" s="1" t="s">
        <v>95</v>
      </c>
      <c r="C31" s="20" t="s">
        <v>96</v>
      </c>
      <c r="D31" s="29" t="s">
        <v>97</v>
      </c>
      <c r="E31" s="30"/>
      <c r="F31" s="30" t="s">
        <v>98</v>
      </c>
      <c r="G31" s="31">
        <v>671</v>
      </c>
      <c r="H31" s="32">
        <v>80.989999999999995</v>
      </c>
      <c r="I31" s="32">
        <v>1.75</v>
      </c>
      <c r="J31" s="33"/>
    </row>
    <row r="32" spans="2:10" x14ac:dyDescent="0.25">
      <c r="B32" s="1" t="s">
        <v>99</v>
      </c>
      <c r="C32" s="20" t="s">
        <v>100</v>
      </c>
      <c r="D32" s="29" t="s">
        <v>101</v>
      </c>
      <c r="E32" s="30"/>
      <c r="F32" s="30" t="s">
        <v>102</v>
      </c>
      <c r="G32" s="31">
        <v>778</v>
      </c>
      <c r="H32" s="32">
        <v>75.23</v>
      </c>
      <c r="I32" s="32">
        <v>1.62</v>
      </c>
      <c r="J32" s="33"/>
    </row>
    <row r="33" spans="2:10" x14ac:dyDescent="0.25">
      <c r="B33" s="1" t="s">
        <v>103</v>
      </c>
      <c r="C33" s="20" t="s">
        <v>104</v>
      </c>
      <c r="D33" s="29" t="s">
        <v>105</v>
      </c>
      <c r="E33" s="30"/>
      <c r="F33" s="30" t="s">
        <v>106</v>
      </c>
      <c r="G33" s="31">
        <v>20720</v>
      </c>
      <c r="H33" s="32">
        <v>75.12</v>
      </c>
      <c r="I33" s="32">
        <v>1.62</v>
      </c>
      <c r="J33" s="33"/>
    </row>
    <row r="34" spans="2:10" x14ac:dyDescent="0.25">
      <c r="B34" s="1" t="s">
        <v>107</v>
      </c>
      <c r="C34" s="20" t="s">
        <v>108</v>
      </c>
      <c r="D34" s="29" t="s">
        <v>109</v>
      </c>
      <c r="E34" s="30"/>
      <c r="F34" s="30" t="s">
        <v>60</v>
      </c>
      <c r="G34" s="31">
        <v>2005</v>
      </c>
      <c r="H34" s="32">
        <v>67.48</v>
      </c>
      <c r="I34" s="32">
        <v>1.46</v>
      </c>
      <c r="J34" s="33"/>
    </row>
    <row r="35" spans="2:10" x14ac:dyDescent="0.25">
      <c r="B35" s="1" t="s">
        <v>110</v>
      </c>
      <c r="C35" s="20" t="s">
        <v>111</v>
      </c>
      <c r="D35" s="29" t="s">
        <v>112</v>
      </c>
      <c r="E35" s="30"/>
      <c r="F35" s="30" t="s">
        <v>75</v>
      </c>
      <c r="G35" s="31">
        <v>7291</v>
      </c>
      <c r="H35" s="32">
        <v>58.43</v>
      </c>
      <c r="I35" s="32">
        <v>1.26</v>
      </c>
      <c r="J35" s="33"/>
    </row>
    <row r="36" spans="2:10" x14ac:dyDescent="0.25">
      <c r="B36" s="1" t="s">
        <v>113</v>
      </c>
      <c r="C36" s="20" t="s">
        <v>114</v>
      </c>
      <c r="D36" s="29" t="s">
        <v>115</v>
      </c>
      <c r="E36" s="30"/>
      <c r="F36" s="30" t="s">
        <v>102</v>
      </c>
      <c r="G36" s="31">
        <v>1393</v>
      </c>
      <c r="H36" s="32">
        <v>55.05</v>
      </c>
      <c r="I36" s="32">
        <v>1.19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60</v>
      </c>
      <c r="G37" s="31">
        <v>443</v>
      </c>
      <c r="H37" s="32">
        <v>54.48</v>
      </c>
      <c r="I37" s="32">
        <v>1.18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22</v>
      </c>
      <c r="G38" s="31">
        <v>3074</v>
      </c>
      <c r="H38" s="32">
        <v>54.02</v>
      </c>
      <c r="I38" s="32">
        <v>1.17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2700</v>
      </c>
      <c r="H39" s="32">
        <v>43.35</v>
      </c>
      <c r="I39" s="32">
        <v>0.94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48</v>
      </c>
      <c r="G40" s="31">
        <v>4417</v>
      </c>
      <c r="H40" s="32">
        <v>42.73</v>
      </c>
      <c r="I40" s="32">
        <v>0.92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7250</v>
      </c>
      <c r="H41" s="32">
        <v>36.07</v>
      </c>
      <c r="I41" s="32">
        <v>0.78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125</v>
      </c>
      <c r="G42" s="31">
        <v>471</v>
      </c>
      <c r="H42" s="32">
        <v>34.99</v>
      </c>
      <c r="I42" s="32">
        <v>0.75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5860</v>
      </c>
      <c r="H43" s="32">
        <v>22.51</v>
      </c>
      <c r="I43" s="32">
        <v>0.49</v>
      </c>
      <c r="J43" s="33"/>
    </row>
    <row r="44" spans="2:10" x14ac:dyDescent="0.25">
      <c r="C44" s="28" t="s">
        <v>140</v>
      </c>
      <c r="D44" s="29"/>
      <c r="E44" s="30"/>
      <c r="F44" s="30"/>
      <c r="G44" s="31"/>
      <c r="H44" s="35">
        <v>4445.4799999999996</v>
      </c>
      <c r="I44" s="35">
        <v>95.92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141</v>
      </c>
      <c r="D46" s="29"/>
      <c r="E46" s="30"/>
      <c r="F46" s="30"/>
      <c r="G46" s="31"/>
      <c r="H46" s="32" t="s">
        <v>142</v>
      </c>
      <c r="I46" s="32" t="s">
        <v>142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143</v>
      </c>
      <c r="D48" s="29"/>
      <c r="E48" s="30"/>
      <c r="F48" s="30"/>
      <c r="G48" s="31"/>
      <c r="H48" s="32" t="s">
        <v>142</v>
      </c>
      <c r="I48" s="32" t="s">
        <v>142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144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145</v>
      </c>
      <c r="D52" s="29"/>
      <c r="E52" s="30"/>
      <c r="F52" s="30"/>
      <c r="G52" s="31"/>
      <c r="H52" s="32" t="s">
        <v>142</v>
      </c>
      <c r="I52" s="32" t="s">
        <v>142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146</v>
      </c>
      <c r="D54" s="29"/>
      <c r="E54" s="30"/>
      <c r="F54" s="30"/>
      <c r="G54" s="31"/>
      <c r="H54" s="32" t="s">
        <v>142</v>
      </c>
      <c r="I54" s="32" t="s">
        <v>142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147</v>
      </c>
      <c r="D56" s="29"/>
      <c r="E56" s="30"/>
      <c r="F56" s="30"/>
      <c r="G56" s="31"/>
      <c r="H56" s="32" t="s">
        <v>142</v>
      </c>
      <c r="I56" s="32" t="s">
        <v>142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148</v>
      </c>
      <c r="D58" s="29"/>
      <c r="E58" s="30"/>
      <c r="F58" s="30"/>
      <c r="G58" s="31"/>
      <c r="H58" s="32" t="s">
        <v>142</v>
      </c>
      <c r="I58" s="32" t="s">
        <v>142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149</v>
      </c>
      <c r="D60" s="29"/>
      <c r="E60" s="30"/>
      <c r="F60" s="30"/>
      <c r="G60" s="31"/>
      <c r="H60" s="32" t="s">
        <v>142</v>
      </c>
      <c r="I60" s="32" t="s">
        <v>142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150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151</v>
      </c>
      <c r="D64" s="29"/>
      <c r="E64" s="30"/>
      <c r="F64" s="30"/>
      <c r="G64" s="31"/>
      <c r="H64" s="32" t="s">
        <v>142</v>
      </c>
      <c r="I64" s="32" t="s">
        <v>142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152</v>
      </c>
      <c r="D66" s="29"/>
      <c r="E66" s="30"/>
      <c r="F66" s="30"/>
      <c r="G66" s="31"/>
      <c r="H66" s="32" t="s">
        <v>142</v>
      </c>
      <c r="I66" s="32" t="s">
        <v>142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153</v>
      </c>
      <c r="D68" s="29"/>
      <c r="E68" s="30"/>
      <c r="F68" s="30"/>
      <c r="G68" s="31"/>
      <c r="H68" s="32" t="s">
        <v>142</v>
      </c>
      <c r="I68" s="32" t="s">
        <v>142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154</v>
      </c>
      <c r="D70" s="29"/>
      <c r="E70" s="30"/>
      <c r="F70" s="30"/>
      <c r="G70" s="31"/>
      <c r="H70" s="32" t="s">
        <v>142</v>
      </c>
      <c r="I70" s="32" t="s">
        <v>142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155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156</v>
      </c>
      <c r="D74" s="29"/>
      <c r="E74" s="30"/>
      <c r="F74" s="30"/>
      <c r="G74" s="31"/>
      <c r="H74" s="32" t="s">
        <v>142</v>
      </c>
      <c r="I74" s="32" t="s">
        <v>142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157</v>
      </c>
      <c r="D76" s="29"/>
      <c r="E76" s="30"/>
      <c r="F76" s="30"/>
      <c r="G76" s="31"/>
      <c r="H76" s="32" t="s">
        <v>142</v>
      </c>
      <c r="I76" s="32" t="s">
        <v>142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158</v>
      </c>
      <c r="D78" s="29"/>
      <c r="E78" s="30"/>
      <c r="F78" s="30"/>
      <c r="G78" s="31"/>
      <c r="H78" s="32" t="s">
        <v>142</v>
      </c>
      <c r="I78" s="32" t="s">
        <v>142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159</v>
      </c>
      <c r="D80" s="29"/>
      <c r="E80" s="30"/>
      <c r="F80" s="30"/>
      <c r="G80" s="31"/>
      <c r="H80" s="32" t="s">
        <v>142</v>
      </c>
      <c r="I80" s="32" t="s">
        <v>142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160</v>
      </c>
      <c r="D82" s="29"/>
      <c r="E82" s="30"/>
      <c r="F82" s="30"/>
      <c r="G82" s="31"/>
      <c r="H82" s="32" t="s">
        <v>142</v>
      </c>
      <c r="I82" s="32" t="s">
        <v>142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161</v>
      </c>
      <c r="D84" s="29"/>
      <c r="E84" s="30"/>
      <c r="F84" s="30"/>
      <c r="G84" s="31"/>
      <c r="H84" s="32" t="s">
        <v>142</v>
      </c>
      <c r="I84" s="32" t="s">
        <v>142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162</v>
      </c>
      <c r="D86" s="29"/>
      <c r="E86" s="30"/>
      <c r="F86" s="30"/>
      <c r="G86" s="31"/>
      <c r="H86" s="32"/>
      <c r="I86" s="32"/>
      <c r="J86" s="33"/>
    </row>
    <row r="87" spans="1:10" x14ac:dyDescent="0.25">
      <c r="B87" s="1"/>
      <c r="C87" s="20" t="s">
        <v>163</v>
      </c>
      <c r="D87" s="29"/>
      <c r="E87" s="30"/>
      <c r="F87" s="30"/>
      <c r="G87" s="31"/>
      <c r="H87" s="32">
        <v>190.89</v>
      </c>
      <c r="I87" s="32">
        <v>4.08</v>
      </c>
      <c r="J87" s="33"/>
    </row>
    <row r="88" spans="1:10" x14ac:dyDescent="0.25">
      <c r="C88" s="28" t="s">
        <v>140</v>
      </c>
      <c r="D88" s="29"/>
      <c r="E88" s="30"/>
      <c r="F88" s="30"/>
      <c r="G88" s="31"/>
      <c r="H88" s="35">
        <v>190.89</v>
      </c>
      <c r="I88" s="35">
        <v>4.08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ht="14.25" thickBot="1" x14ac:dyDescent="0.3">
      <c r="C90" s="36" t="s">
        <v>164</v>
      </c>
      <c r="D90" s="37"/>
      <c r="E90" s="38"/>
      <c r="F90" s="39"/>
      <c r="G90" s="40"/>
      <c r="H90" s="41">
        <v>4636.37</v>
      </c>
      <c r="I90" s="41">
        <f>SUMIFS(I:I,C:C,"Total")</f>
        <v>100</v>
      </c>
      <c r="J90" s="42"/>
    </row>
    <row r="91" spans="1:10" x14ac:dyDescent="0.25">
      <c r="H91" s="43"/>
    </row>
    <row r="93" spans="1:10" x14ac:dyDescent="0.25">
      <c r="C93" s="11" t="s">
        <v>165</v>
      </c>
    </row>
    <row r="94" spans="1:10" x14ac:dyDescent="0.25">
      <c r="C94" s="2" t="s">
        <v>166</v>
      </c>
    </row>
    <row r="95" spans="1:10" x14ac:dyDescent="0.25">
      <c r="C95" s="2" t="s">
        <v>167</v>
      </c>
    </row>
    <row r="96" spans="1:10" x14ac:dyDescent="0.25">
      <c r="C96" s="2" t="s">
        <v>168</v>
      </c>
    </row>
    <row r="97" spans="3:5" x14ac:dyDescent="0.25">
      <c r="C97" s="2" t="s">
        <v>169</v>
      </c>
    </row>
    <row r="98" spans="3:5" x14ac:dyDescent="0.25">
      <c r="C98" s="2" t="s">
        <v>170</v>
      </c>
    </row>
    <row r="99" spans="3:5" x14ac:dyDescent="0.25">
      <c r="C99" s="2" t="s">
        <v>171</v>
      </c>
    </row>
    <row r="101" spans="3:5" x14ac:dyDescent="0.25">
      <c r="C101" s="44"/>
      <c r="D101" s="72" t="s">
        <v>172</v>
      </c>
      <c r="E101" s="72"/>
    </row>
    <row r="102" spans="3:5" ht="27" x14ac:dyDescent="0.25">
      <c r="C102" s="45" t="s">
        <v>173</v>
      </c>
      <c r="D102" s="46" t="s">
        <v>174</v>
      </c>
      <c r="E102" s="46" t="s">
        <v>175</v>
      </c>
    </row>
    <row r="103" spans="3:5" x14ac:dyDescent="0.25">
      <c r="C103" s="44" t="s">
        <v>176</v>
      </c>
      <c r="D103" s="47">
        <v>67.73</v>
      </c>
      <c r="E103" s="47">
        <v>62.97</v>
      </c>
    </row>
    <row r="104" spans="3:5" x14ac:dyDescent="0.25">
      <c r="C104" s="44" t="s">
        <v>177</v>
      </c>
      <c r="D104" s="47">
        <v>154.62</v>
      </c>
      <c r="E104" s="47">
        <v>143.74</v>
      </c>
    </row>
    <row r="105" spans="3:5" x14ac:dyDescent="0.25">
      <c r="C105" s="44" t="s">
        <v>178</v>
      </c>
      <c r="D105" s="47">
        <v>72.08</v>
      </c>
      <c r="E105" s="47">
        <v>67.09</v>
      </c>
    </row>
    <row r="106" spans="3:5" x14ac:dyDescent="0.25">
      <c r="C106" s="44" t="s">
        <v>179</v>
      </c>
      <c r="D106" s="47">
        <v>163.63999999999999</v>
      </c>
      <c r="E106" s="47">
        <v>152.29</v>
      </c>
    </row>
    <row r="108" spans="3:5" x14ac:dyDescent="0.25">
      <c r="C108" s="2" t="s">
        <v>180</v>
      </c>
    </row>
    <row r="109" spans="3:5" x14ac:dyDescent="0.25">
      <c r="C109" s="2" t="s">
        <v>181</v>
      </c>
    </row>
    <row r="110" spans="3:5" x14ac:dyDescent="0.25">
      <c r="C110" s="2" t="s">
        <v>182</v>
      </c>
    </row>
    <row r="111" spans="3:5" x14ac:dyDescent="0.25">
      <c r="C111" s="2" t="s">
        <v>183</v>
      </c>
    </row>
    <row r="112" spans="3:5" x14ac:dyDescent="0.25">
      <c r="C112" s="2" t="s">
        <v>184</v>
      </c>
    </row>
    <row r="113" spans="3:3" x14ac:dyDescent="0.25">
      <c r="C113" s="2" t="s">
        <v>185</v>
      </c>
    </row>
    <row r="114" spans="3:3" x14ac:dyDescent="0.25">
      <c r="C114" s="2" t="s">
        <v>186</v>
      </c>
    </row>
    <row r="115" spans="3:3" x14ac:dyDescent="0.25">
      <c r="C115" s="2" t="s">
        <v>187</v>
      </c>
    </row>
    <row r="116" spans="3:3" x14ac:dyDescent="0.25">
      <c r="C116" s="2" t="s">
        <v>188</v>
      </c>
    </row>
  </sheetData>
  <mergeCells count="1">
    <mergeCell ref="D101:E101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794E-AD9B-4E66-9BB0-DAEF6D80A3E9}">
  <dimension ref="C3:M17"/>
  <sheetViews>
    <sheetView tabSelected="1" topLeftCell="A4" workbookViewId="0">
      <selection activeCell="D16" sqref="D16"/>
    </sheetView>
  </sheetViews>
  <sheetFormatPr defaultRowHeight="15" x14ac:dyDescent="0.25"/>
  <cols>
    <col min="3" max="3" width="60.140625" bestFit="1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48" t="s">
        <v>189</v>
      </c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3:13" x14ac:dyDescent="0.25">
      <c r="C4" s="50" t="s">
        <v>190</v>
      </c>
      <c r="D4" s="73" t="s">
        <v>191</v>
      </c>
      <c r="E4" s="73"/>
      <c r="F4" s="73" t="s">
        <v>192</v>
      </c>
      <c r="G4" s="73"/>
      <c r="H4" s="73" t="s">
        <v>193</v>
      </c>
      <c r="I4" s="73"/>
      <c r="J4" s="74" t="s">
        <v>194</v>
      </c>
      <c r="K4" s="75"/>
      <c r="L4" s="76" t="s">
        <v>195</v>
      </c>
      <c r="M4" s="76"/>
    </row>
    <row r="5" spans="3:13" ht="63.75" x14ac:dyDescent="0.25">
      <c r="C5" s="51"/>
      <c r="D5" s="52" t="s">
        <v>196</v>
      </c>
      <c r="E5" s="52" t="s">
        <v>197</v>
      </c>
      <c r="F5" s="52" t="s">
        <v>196</v>
      </c>
      <c r="G5" s="52" t="s">
        <v>197</v>
      </c>
      <c r="H5" s="52" t="s">
        <v>196</v>
      </c>
      <c r="I5" s="52" t="s">
        <v>197</v>
      </c>
      <c r="J5" s="52" t="s">
        <v>196</v>
      </c>
      <c r="K5" s="52" t="s">
        <v>197</v>
      </c>
      <c r="L5" s="53" t="s">
        <v>196</v>
      </c>
      <c r="M5" s="53" t="s">
        <v>197</v>
      </c>
    </row>
    <row r="6" spans="3:13" x14ac:dyDescent="0.25">
      <c r="C6" s="54" t="s">
        <v>198</v>
      </c>
      <c r="D6" s="55">
        <v>-1.5863936000000001</v>
      </c>
      <c r="E6" s="55">
        <v>9840.4983570646218</v>
      </c>
      <c r="F6" s="55">
        <v>13.936500000000001</v>
      </c>
      <c r="G6" s="55">
        <v>14801.276771004941</v>
      </c>
      <c r="H6" s="55">
        <v>10.2217</v>
      </c>
      <c r="I6" s="55">
        <v>16272.356803260131</v>
      </c>
      <c r="J6" s="55">
        <v>9.8352000000000004</v>
      </c>
      <c r="K6" s="55">
        <v>25564.645207184778</v>
      </c>
      <c r="L6" s="55">
        <v>10.255599999999999</v>
      </c>
      <c r="M6" s="55">
        <v>143750</v>
      </c>
    </row>
    <row r="7" spans="3:13" x14ac:dyDescent="0.25">
      <c r="C7" s="54" t="s">
        <v>199</v>
      </c>
      <c r="D7" s="55">
        <v>-3.6234185999999999</v>
      </c>
      <c r="E7" s="55">
        <v>9814.86</v>
      </c>
      <c r="F7" s="55">
        <v>11.939904</v>
      </c>
      <c r="G7" s="55">
        <v>14425.982260242859</v>
      </c>
      <c r="H7" s="55">
        <v>10.722255000000001</v>
      </c>
      <c r="I7" s="55">
        <v>17357.615439850812</v>
      </c>
      <c r="J7" s="55">
        <v>13.024903</v>
      </c>
      <c r="K7" s="55">
        <v>18658.11628420847</v>
      </c>
      <c r="L7" s="55" t="s">
        <v>200</v>
      </c>
      <c r="M7" s="55">
        <v>371597.19727612328</v>
      </c>
    </row>
    <row r="8" spans="3:13" x14ac:dyDescent="0.25">
      <c r="C8" s="54" t="s">
        <v>201</v>
      </c>
      <c r="D8" s="55">
        <v>-3.9686713</v>
      </c>
      <c r="E8" s="55">
        <v>9601</v>
      </c>
      <c r="F8" s="55">
        <v>10.604200000000001</v>
      </c>
      <c r="G8" s="55">
        <v>13530.531495890262</v>
      </c>
      <c r="H8" s="55">
        <v>9.7759999999999998</v>
      </c>
      <c r="I8" s="55">
        <v>15941.787283973832</v>
      </c>
      <c r="J8" s="55">
        <v>12.539300000000001</v>
      </c>
      <c r="K8" s="55">
        <v>18051.822206086035</v>
      </c>
      <c r="L8" s="55">
        <v>11.915699999999999</v>
      </c>
      <c r="M8" s="55">
        <v>331674.05629944068</v>
      </c>
    </row>
    <row r="9" spans="3:13" x14ac:dyDescent="0.25">
      <c r="C9" s="54" t="s">
        <v>202</v>
      </c>
      <c r="D9" s="77">
        <v>146.08000000000001</v>
      </c>
      <c r="E9" s="78"/>
      <c r="F9" s="77">
        <v>97.12</v>
      </c>
      <c r="G9" s="78"/>
      <c r="H9" s="77">
        <v>88.34</v>
      </c>
      <c r="I9" s="78"/>
      <c r="J9" s="77">
        <v>56.23</v>
      </c>
      <c r="K9" s="78"/>
      <c r="L9" s="77">
        <v>10</v>
      </c>
      <c r="M9" s="78"/>
    </row>
    <row r="11" spans="3:13" ht="15.75" x14ac:dyDescent="0.25">
      <c r="C11" s="48" t="s">
        <v>203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3:13" x14ac:dyDescent="0.25">
      <c r="C12" s="50" t="s">
        <v>190</v>
      </c>
      <c r="D12" s="73" t="s">
        <v>191</v>
      </c>
      <c r="E12" s="73"/>
      <c r="F12" s="73" t="s">
        <v>192</v>
      </c>
      <c r="G12" s="73"/>
      <c r="H12" s="73" t="s">
        <v>193</v>
      </c>
      <c r="I12" s="73"/>
      <c r="J12" s="74" t="s">
        <v>194</v>
      </c>
      <c r="K12" s="75"/>
      <c r="L12" s="76" t="s">
        <v>195</v>
      </c>
      <c r="M12" s="76"/>
    </row>
    <row r="13" spans="3:13" ht="63.75" x14ac:dyDescent="0.25">
      <c r="C13" s="51"/>
      <c r="D13" s="52" t="s">
        <v>196</v>
      </c>
      <c r="E13" s="52" t="s">
        <v>197</v>
      </c>
      <c r="F13" s="52" t="s">
        <v>196</v>
      </c>
      <c r="G13" s="52" t="s">
        <v>197</v>
      </c>
      <c r="H13" s="52" t="s">
        <v>196</v>
      </c>
      <c r="I13" s="52" t="s">
        <v>197</v>
      </c>
      <c r="J13" s="52" t="s">
        <v>196</v>
      </c>
      <c r="K13" s="52" t="s">
        <v>197</v>
      </c>
      <c r="L13" s="53" t="s">
        <v>196</v>
      </c>
      <c r="M13" s="53" t="s">
        <v>197</v>
      </c>
    </row>
    <row r="14" spans="3:13" x14ac:dyDescent="0.25">
      <c r="C14" s="54" t="s">
        <v>198</v>
      </c>
      <c r="D14" s="55">
        <v>-1.384503</v>
      </c>
      <c r="E14" s="55">
        <v>9860.7963742311458</v>
      </c>
      <c r="F14" s="55">
        <v>14.097799999999999</v>
      </c>
      <c r="G14" s="55">
        <v>14864.337302361899</v>
      </c>
      <c r="H14" s="55">
        <v>10.352600000000001</v>
      </c>
      <c r="I14" s="55">
        <v>16369.303525365434</v>
      </c>
      <c r="J14" s="55">
        <v>10.192500000000001</v>
      </c>
      <c r="K14" s="55">
        <v>26408.878099531819</v>
      </c>
      <c r="L14" s="55">
        <v>9.6906999999999996</v>
      </c>
      <c r="M14" s="55">
        <v>34209.344115004496</v>
      </c>
    </row>
    <row r="15" spans="3:13" x14ac:dyDescent="0.25">
      <c r="C15" s="54" t="s">
        <v>199</v>
      </c>
      <c r="D15" s="55">
        <v>-3.6234185999999999</v>
      </c>
      <c r="E15" s="55">
        <v>9814.86</v>
      </c>
      <c r="F15" s="55">
        <v>11.939904</v>
      </c>
      <c r="G15" s="55">
        <v>14425.982260242859</v>
      </c>
      <c r="H15" s="55">
        <v>10.722255000000001</v>
      </c>
      <c r="I15" s="55">
        <v>17357.615439850812</v>
      </c>
      <c r="J15" s="55">
        <v>13.024903</v>
      </c>
      <c r="K15" s="55">
        <v>18658.11628420847</v>
      </c>
      <c r="L15" s="55">
        <v>12.18867</v>
      </c>
      <c r="M15" s="55">
        <v>54467.793226730311</v>
      </c>
    </row>
    <row r="16" spans="3:13" x14ac:dyDescent="0.25">
      <c r="C16" s="54" t="s">
        <v>201</v>
      </c>
      <c r="D16" s="55">
        <v>-3.9686713</v>
      </c>
      <c r="E16" s="55">
        <v>9601</v>
      </c>
      <c r="F16" s="55">
        <v>10.604200000000001</v>
      </c>
      <c r="G16" s="55">
        <v>13530.531495890262</v>
      </c>
      <c r="H16" s="55">
        <v>9.7759999999999998</v>
      </c>
      <c r="I16" s="55">
        <v>15941.787283973832</v>
      </c>
      <c r="J16" s="55">
        <v>12.539300000000001</v>
      </c>
      <c r="K16" s="55">
        <v>18051.822206086035</v>
      </c>
      <c r="L16" s="55">
        <v>11.7521</v>
      </c>
      <c r="M16" s="55">
        <v>43560.260191952562</v>
      </c>
    </row>
    <row r="17" spans="3:13" x14ac:dyDescent="0.25">
      <c r="C17" s="56" t="s">
        <v>204</v>
      </c>
      <c r="D17" s="77">
        <v>154.44999999999999</v>
      </c>
      <c r="E17" s="78"/>
      <c r="F17" s="77">
        <v>102.46</v>
      </c>
      <c r="G17" s="78"/>
      <c r="H17" s="77">
        <v>93.04</v>
      </c>
      <c r="I17" s="78"/>
      <c r="J17" s="77">
        <v>57.67</v>
      </c>
      <c r="K17" s="78"/>
      <c r="L17" s="77">
        <v>44.52</v>
      </c>
      <c r="M17" s="7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97BE-78E9-44A0-BE12-00F28B6521A2}">
  <dimension ref="A1:H31"/>
  <sheetViews>
    <sheetView workbookViewId="0"/>
  </sheetViews>
  <sheetFormatPr defaultRowHeight="15" x14ac:dyDescent="0.25"/>
  <cols>
    <col min="1" max="1" width="18" customWidth="1"/>
    <col min="2" max="2" width="18.7109375" customWidth="1"/>
    <col min="3" max="3" width="18.5703125" customWidth="1"/>
    <col min="4" max="4" width="18.28515625" customWidth="1"/>
    <col min="5" max="5" width="18.42578125" customWidth="1"/>
    <col min="6" max="6" width="19.28515625" customWidth="1"/>
    <col min="7" max="7" width="17.140625" customWidth="1"/>
    <col min="8" max="8" width="16.7109375" customWidth="1"/>
    <col min="257" max="257" width="18" customWidth="1"/>
    <col min="258" max="258" width="18.7109375" customWidth="1"/>
    <col min="259" max="259" width="18.5703125" customWidth="1"/>
    <col min="260" max="260" width="18.28515625" customWidth="1"/>
    <col min="261" max="261" width="18.42578125" customWidth="1"/>
    <col min="262" max="262" width="19.28515625" customWidth="1"/>
    <col min="263" max="263" width="17.140625" customWidth="1"/>
    <col min="264" max="264" width="16.7109375" customWidth="1"/>
    <col min="513" max="513" width="18" customWidth="1"/>
    <col min="514" max="514" width="18.7109375" customWidth="1"/>
    <col min="515" max="515" width="18.5703125" customWidth="1"/>
    <col min="516" max="516" width="18.28515625" customWidth="1"/>
    <col min="517" max="517" width="18.42578125" customWidth="1"/>
    <col min="518" max="518" width="19.28515625" customWidth="1"/>
    <col min="519" max="519" width="17.140625" customWidth="1"/>
    <col min="520" max="520" width="16.7109375" customWidth="1"/>
    <col min="769" max="769" width="18" customWidth="1"/>
    <col min="770" max="770" width="18.7109375" customWidth="1"/>
    <col min="771" max="771" width="18.5703125" customWidth="1"/>
    <col min="772" max="772" width="18.28515625" customWidth="1"/>
    <col min="773" max="773" width="18.42578125" customWidth="1"/>
    <col min="774" max="774" width="19.28515625" customWidth="1"/>
    <col min="775" max="775" width="17.140625" customWidth="1"/>
    <col min="776" max="776" width="16.7109375" customWidth="1"/>
    <col min="1025" max="1025" width="18" customWidth="1"/>
    <col min="1026" max="1026" width="18.7109375" customWidth="1"/>
    <col min="1027" max="1027" width="18.5703125" customWidth="1"/>
    <col min="1028" max="1028" width="18.28515625" customWidth="1"/>
    <col min="1029" max="1029" width="18.42578125" customWidth="1"/>
    <col min="1030" max="1030" width="19.28515625" customWidth="1"/>
    <col min="1031" max="1031" width="17.140625" customWidth="1"/>
    <col min="1032" max="1032" width="16.7109375" customWidth="1"/>
    <col min="1281" max="1281" width="18" customWidth="1"/>
    <col min="1282" max="1282" width="18.7109375" customWidth="1"/>
    <col min="1283" max="1283" width="18.5703125" customWidth="1"/>
    <col min="1284" max="1284" width="18.28515625" customWidth="1"/>
    <col min="1285" max="1285" width="18.42578125" customWidth="1"/>
    <col min="1286" max="1286" width="19.28515625" customWidth="1"/>
    <col min="1287" max="1287" width="17.140625" customWidth="1"/>
    <col min="1288" max="1288" width="16.7109375" customWidth="1"/>
    <col min="1537" max="1537" width="18" customWidth="1"/>
    <col min="1538" max="1538" width="18.7109375" customWidth="1"/>
    <col min="1539" max="1539" width="18.5703125" customWidth="1"/>
    <col min="1540" max="1540" width="18.28515625" customWidth="1"/>
    <col min="1541" max="1541" width="18.42578125" customWidth="1"/>
    <col min="1542" max="1542" width="19.28515625" customWidth="1"/>
    <col min="1543" max="1543" width="17.140625" customWidth="1"/>
    <col min="1544" max="1544" width="16.7109375" customWidth="1"/>
    <col min="1793" max="1793" width="18" customWidth="1"/>
    <col min="1794" max="1794" width="18.7109375" customWidth="1"/>
    <col min="1795" max="1795" width="18.5703125" customWidth="1"/>
    <col min="1796" max="1796" width="18.28515625" customWidth="1"/>
    <col min="1797" max="1797" width="18.42578125" customWidth="1"/>
    <col min="1798" max="1798" width="19.28515625" customWidth="1"/>
    <col min="1799" max="1799" width="17.140625" customWidth="1"/>
    <col min="1800" max="1800" width="16.7109375" customWidth="1"/>
    <col min="2049" max="2049" width="18" customWidth="1"/>
    <col min="2050" max="2050" width="18.7109375" customWidth="1"/>
    <col min="2051" max="2051" width="18.5703125" customWidth="1"/>
    <col min="2052" max="2052" width="18.28515625" customWidth="1"/>
    <col min="2053" max="2053" width="18.42578125" customWidth="1"/>
    <col min="2054" max="2054" width="19.28515625" customWidth="1"/>
    <col min="2055" max="2055" width="17.140625" customWidth="1"/>
    <col min="2056" max="2056" width="16.7109375" customWidth="1"/>
    <col min="2305" max="2305" width="18" customWidth="1"/>
    <col min="2306" max="2306" width="18.7109375" customWidth="1"/>
    <col min="2307" max="2307" width="18.5703125" customWidth="1"/>
    <col min="2308" max="2308" width="18.28515625" customWidth="1"/>
    <col min="2309" max="2309" width="18.42578125" customWidth="1"/>
    <col min="2310" max="2310" width="19.28515625" customWidth="1"/>
    <col min="2311" max="2311" width="17.140625" customWidth="1"/>
    <col min="2312" max="2312" width="16.7109375" customWidth="1"/>
    <col min="2561" max="2561" width="18" customWidth="1"/>
    <col min="2562" max="2562" width="18.7109375" customWidth="1"/>
    <col min="2563" max="2563" width="18.5703125" customWidth="1"/>
    <col min="2564" max="2564" width="18.28515625" customWidth="1"/>
    <col min="2565" max="2565" width="18.42578125" customWidth="1"/>
    <col min="2566" max="2566" width="19.28515625" customWidth="1"/>
    <col min="2567" max="2567" width="17.140625" customWidth="1"/>
    <col min="2568" max="2568" width="16.7109375" customWidth="1"/>
    <col min="2817" max="2817" width="18" customWidth="1"/>
    <col min="2818" max="2818" width="18.7109375" customWidth="1"/>
    <col min="2819" max="2819" width="18.5703125" customWidth="1"/>
    <col min="2820" max="2820" width="18.28515625" customWidth="1"/>
    <col min="2821" max="2821" width="18.42578125" customWidth="1"/>
    <col min="2822" max="2822" width="19.28515625" customWidth="1"/>
    <col min="2823" max="2823" width="17.140625" customWidth="1"/>
    <col min="2824" max="2824" width="16.7109375" customWidth="1"/>
    <col min="3073" max="3073" width="18" customWidth="1"/>
    <col min="3074" max="3074" width="18.7109375" customWidth="1"/>
    <col min="3075" max="3075" width="18.5703125" customWidth="1"/>
    <col min="3076" max="3076" width="18.28515625" customWidth="1"/>
    <col min="3077" max="3077" width="18.42578125" customWidth="1"/>
    <col min="3078" max="3078" width="19.28515625" customWidth="1"/>
    <col min="3079" max="3079" width="17.140625" customWidth="1"/>
    <col min="3080" max="3080" width="16.7109375" customWidth="1"/>
    <col min="3329" max="3329" width="18" customWidth="1"/>
    <col min="3330" max="3330" width="18.7109375" customWidth="1"/>
    <col min="3331" max="3331" width="18.5703125" customWidth="1"/>
    <col min="3332" max="3332" width="18.28515625" customWidth="1"/>
    <col min="3333" max="3333" width="18.42578125" customWidth="1"/>
    <col min="3334" max="3334" width="19.28515625" customWidth="1"/>
    <col min="3335" max="3335" width="17.140625" customWidth="1"/>
    <col min="3336" max="3336" width="16.7109375" customWidth="1"/>
    <col min="3585" max="3585" width="18" customWidth="1"/>
    <col min="3586" max="3586" width="18.7109375" customWidth="1"/>
    <col min="3587" max="3587" width="18.5703125" customWidth="1"/>
    <col min="3588" max="3588" width="18.28515625" customWidth="1"/>
    <col min="3589" max="3589" width="18.42578125" customWidth="1"/>
    <col min="3590" max="3590" width="19.28515625" customWidth="1"/>
    <col min="3591" max="3591" width="17.140625" customWidth="1"/>
    <col min="3592" max="3592" width="16.7109375" customWidth="1"/>
    <col min="3841" max="3841" width="18" customWidth="1"/>
    <col min="3842" max="3842" width="18.7109375" customWidth="1"/>
    <col min="3843" max="3843" width="18.5703125" customWidth="1"/>
    <col min="3844" max="3844" width="18.28515625" customWidth="1"/>
    <col min="3845" max="3845" width="18.42578125" customWidth="1"/>
    <col min="3846" max="3846" width="19.28515625" customWidth="1"/>
    <col min="3847" max="3847" width="17.140625" customWidth="1"/>
    <col min="3848" max="3848" width="16.7109375" customWidth="1"/>
    <col min="4097" max="4097" width="18" customWidth="1"/>
    <col min="4098" max="4098" width="18.7109375" customWidth="1"/>
    <col min="4099" max="4099" width="18.5703125" customWidth="1"/>
    <col min="4100" max="4100" width="18.28515625" customWidth="1"/>
    <col min="4101" max="4101" width="18.42578125" customWidth="1"/>
    <col min="4102" max="4102" width="19.28515625" customWidth="1"/>
    <col min="4103" max="4103" width="17.140625" customWidth="1"/>
    <col min="4104" max="4104" width="16.7109375" customWidth="1"/>
    <col min="4353" max="4353" width="18" customWidth="1"/>
    <col min="4354" max="4354" width="18.7109375" customWidth="1"/>
    <col min="4355" max="4355" width="18.5703125" customWidth="1"/>
    <col min="4356" max="4356" width="18.28515625" customWidth="1"/>
    <col min="4357" max="4357" width="18.42578125" customWidth="1"/>
    <col min="4358" max="4358" width="19.28515625" customWidth="1"/>
    <col min="4359" max="4359" width="17.140625" customWidth="1"/>
    <col min="4360" max="4360" width="16.7109375" customWidth="1"/>
    <col min="4609" max="4609" width="18" customWidth="1"/>
    <col min="4610" max="4610" width="18.7109375" customWidth="1"/>
    <col min="4611" max="4611" width="18.5703125" customWidth="1"/>
    <col min="4612" max="4612" width="18.28515625" customWidth="1"/>
    <col min="4613" max="4613" width="18.42578125" customWidth="1"/>
    <col min="4614" max="4614" width="19.28515625" customWidth="1"/>
    <col min="4615" max="4615" width="17.140625" customWidth="1"/>
    <col min="4616" max="4616" width="16.7109375" customWidth="1"/>
    <col min="4865" max="4865" width="18" customWidth="1"/>
    <col min="4866" max="4866" width="18.7109375" customWidth="1"/>
    <col min="4867" max="4867" width="18.5703125" customWidth="1"/>
    <col min="4868" max="4868" width="18.28515625" customWidth="1"/>
    <col min="4869" max="4869" width="18.42578125" customWidth="1"/>
    <col min="4870" max="4870" width="19.28515625" customWidth="1"/>
    <col min="4871" max="4871" width="17.140625" customWidth="1"/>
    <col min="4872" max="4872" width="16.7109375" customWidth="1"/>
    <col min="5121" max="5121" width="18" customWidth="1"/>
    <col min="5122" max="5122" width="18.7109375" customWidth="1"/>
    <col min="5123" max="5123" width="18.5703125" customWidth="1"/>
    <col min="5124" max="5124" width="18.28515625" customWidth="1"/>
    <col min="5125" max="5125" width="18.42578125" customWidth="1"/>
    <col min="5126" max="5126" width="19.28515625" customWidth="1"/>
    <col min="5127" max="5127" width="17.140625" customWidth="1"/>
    <col min="5128" max="5128" width="16.7109375" customWidth="1"/>
    <col min="5377" max="5377" width="18" customWidth="1"/>
    <col min="5378" max="5378" width="18.7109375" customWidth="1"/>
    <col min="5379" max="5379" width="18.5703125" customWidth="1"/>
    <col min="5380" max="5380" width="18.28515625" customWidth="1"/>
    <col min="5381" max="5381" width="18.42578125" customWidth="1"/>
    <col min="5382" max="5382" width="19.28515625" customWidth="1"/>
    <col min="5383" max="5383" width="17.140625" customWidth="1"/>
    <col min="5384" max="5384" width="16.7109375" customWidth="1"/>
    <col min="5633" max="5633" width="18" customWidth="1"/>
    <col min="5634" max="5634" width="18.7109375" customWidth="1"/>
    <col min="5635" max="5635" width="18.5703125" customWidth="1"/>
    <col min="5636" max="5636" width="18.28515625" customWidth="1"/>
    <col min="5637" max="5637" width="18.42578125" customWidth="1"/>
    <col min="5638" max="5638" width="19.28515625" customWidth="1"/>
    <col min="5639" max="5639" width="17.140625" customWidth="1"/>
    <col min="5640" max="5640" width="16.7109375" customWidth="1"/>
    <col min="5889" max="5889" width="18" customWidth="1"/>
    <col min="5890" max="5890" width="18.7109375" customWidth="1"/>
    <col min="5891" max="5891" width="18.5703125" customWidth="1"/>
    <col min="5892" max="5892" width="18.28515625" customWidth="1"/>
    <col min="5893" max="5893" width="18.42578125" customWidth="1"/>
    <col min="5894" max="5894" width="19.28515625" customWidth="1"/>
    <col min="5895" max="5895" width="17.140625" customWidth="1"/>
    <col min="5896" max="5896" width="16.7109375" customWidth="1"/>
    <col min="6145" max="6145" width="18" customWidth="1"/>
    <col min="6146" max="6146" width="18.7109375" customWidth="1"/>
    <col min="6147" max="6147" width="18.5703125" customWidth="1"/>
    <col min="6148" max="6148" width="18.28515625" customWidth="1"/>
    <col min="6149" max="6149" width="18.42578125" customWidth="1"/>
    <col min="6150" max="6150" width="19.28515625" customWidth="1"/>
    <col min="6151" max="6151" width="17.140625" customWidth="1"/>
    <col min="6152" max="6152" width="16.7109375" customWidth="1"/>
    <col min="6401" max="6401" width="18" customWidth="1"/>
    <col min="6402" max="6402" width="18.7109375" customWidth="1"/>
    <col min="6403" max="6403" width="18.5703125" customWidth="1"/>
    <col min="6404" max="6404" width="18.28515625" customWidth="1"/>
    <col min="6405" max="6405" width="18.42578125" customWidth="1"/>
    <col min="6406" max="6406" width="19.28515625" customWidth="1"/>
    <col min="6407" max="6407" width="17.140625" customWidth="1"/>
    <col min="6408" max="6408" width="16.7109375" customWidth="1"/>
    <col min="6657" max="6657" width="18" customWidth="1"/>
    <col min="6658" max="6658" width="18.7109375" customWidth="1"/>
    <col min="6659" max="6659" width="18.5703125" customWidth="1"/>
    <col min="6660" max="6660" width="18.28515625" customWidth="1"/>
    <col min="6661" max="6661" width="18.42578125" customWidth="1"/>
    <col min="6662" max="6662" width="19.28515625" customWidth="1"/>
    <col min="6663" max="6663" width="17.140625" customWidth="1"/>
    <col min="6664" max="6664" width="16.7109375" customWidth="1"/>
    <col min="6913" max="6913" width="18" customWidth="1"/>
    <col min="6914" max="6914" width="18.7109375" customWidth="1"/>
    <col min="6915" max="6915" width="18.5703125" customWidth="1"/>
    <col min="6916" max="6916" width="18.28515625" customWidth="1"/>
    <col min="6917" max="6917" width="18.42578125" customWidth="1"/>
    <col min="6918" max="6918" width="19.28515625" customWidth="1"/>
    <col min="6919" max="6919" width="17.140625" customWidth="1"/>
    <col min="6920" max="6920" width="16.7109375" customWidth="1"/>
    <col min="7169" max="7169" width="18" customWidth="1"/>
    <col min="7170" max="7170" width="18.7109375" customWidth="1"/>
    <col min="7171" max="7171" width="18.5703125" customWidth="1"/>
    <col min="7172" max="7172" width="18.28515625" customWidth="1"/>
    <col min="7173" max="7173" width="18.42578125" customWidth="1"/>
    <col min="7174" max="7174" width="19.28515625" customWidth="1"/>
    <col min="7175" max="7175" width="17.140625" customWidth="1"/>
    <col min="7176" max="7176" width="16.7109375" customWidth="1"/>
    <col min="7425" max="7425" width="18" customWidth="1"/>
    <col min="7426" max="7426" width="18.7109375" customWidth="1"/>
    <col min="7427" max="7427" width="18.5703125" customWidth="1"/>
    <col min="7428" max="7428" width="18.28515625" customWidth="1"/>
    <col min="7429" max="7429" width="18.42578125" customWidth="1"/>
    <col min="7430" max="7430" width="19.28515625" customWidth="1"/>
    <col min="7431" max="7431" width="17.140625" customWidth="1"/>
    <col min="7432" max="7432" width="16.7109375" customWidth="1"/>
    <col min="7681" max="7681" width="18" customWidth="1"/>
    <col min="7682" max="7682" width="18.7109375" customWidth="1"/>
    <col min="7683" max="7683" width="18.5703125" customWidth="1"/>
    <col min="7684" max="7684" width="18.28515625" customWidth="1"/>
    <col min="7685" max="7685" width="18.42578125" customWidth="1"/>
    <col min="7686" max="7686" width="19.28515625" customWidth="1"/>
    <col min="7687" max="7687" width="17.140625" customWidth="1"/>
    <col min="7688" max="7688" width="16.7109375" customWidth="1"/>
    <col min="7937" max="7937" width="18" customWidth="1"/>
    <col min="7938" max="7938" width="18.7109375" customWidth="1"/>
    <col min="7939" max="7939" width="18.5703125" customWidth="1"/>
    <col min="7940" max="7940" width="18.28515625" customWidth="1"/>
    <col min="7941" max="7941" width="18.42578125" customWidth="1"/>
    <col min="7942" max="7942" width="19.28515625" customWidth="1"/>
    <col min="7943" max="7943" width="17.140625" customWidth="1"/>
    <col min="7944" max="7944" width="16.7109375" customWidth="1"/>
    <col min="8193" max="8193" width="18" customWidth="1"/>
    <col min="8194" max="8194" width="18.7109375" customWidth="1"/>
    <col min="8195" max="8195" width="18.5703125" customWidth="1"/>
    <col min="8196" max="8196" width="18.28515625" customWidth="1"/>
    <col min="8197" max="8197" width="18.42578125" customWidth="1"/>
    <col min="8198" max="8198" width="19.28515625" customWidth="1"/>
    <col min="8199" max="8199" width="17.140625" customWidth="1"/>
    <col min="8200" max="8200" width="16.7109375" customWidth="1"/>
    <col min="8449" max="8449" width="18" customWidth="1"/>
    <col min="8450" max="8450" width="18.7109375" customWidth="1"/>
    <col min="8451" max="8451" width="18.5703125" customWidth="1"/>
    <col min="8452" max="8452" width="18.28515625" customWidth="1"/>
    <col min="8453" max="8453" width="18.42578125" customWidth="1"/>
    <col min="8454" max="8454" width="19.28515625" customWidth="1"/>
    <col min="8455" max="8455" width="17.140625" customWidth="1"/>
    <col min="8456" max="8456" width="16.7109375" customWidth="1"/>
    <col min="8705" max="8705" width="18" customWidth="1"/>
    <col min="8706" max="8706" width="18.7109375" customWidth="1"/>
    <col min="8707" max="8707" width="18.5703125" customWidth="1"/>
    <col min="8708" max="8708" width="18.28515625" customWidth="1"/>
    <col min="8709" max="8709" width="18.42578125" customWidth="1"/>
    <col min="8710" max="8710" width="19.28515625" customWidth="1"/>
    <col min="8711" max="8711" width="17.140625" customWidth="1"/>
    <col min="8712" max="8712" width="16.7109375" customWidth="1"/>
    <col min="8961" max="8961" width="18" customWidth="1"/>
    <col min="8962" max="8962" width="18.7109375" customWidth="1"/>
    <col min="8963" max="8963" width="18.5703125" customWidth="1"/>
    <col min="8964" max="8964" width="18.28515625" customWidth="1"/>
    <col min="8965" max="8965" width="18.42578125" customWidth="1"/>
    <col min="8966" max="8966" width="19.28515625" customWidth="1"/>
    <col min="8967" max="8967" width="17.140625" customWidth="1"/>
    <col min="8968" max="8968" width="16.7109375" customWidth="1"/>
    <col min="9217" max="9217" width="18" customWidth="1"/>
    <col min="9218" max="9218" width="18.7109375" customWidth="1"/>
    <col min="9219" max="9219" width="18.5703125" customWidth="1"/>
    <col min="9220" max="9220" width="18.28515625" customWidth="1"/>
    <col min="9221" max="9221" width="18.42578125" customWidth="1"/>
    <col min="9222" max="9222" width="19.28515625" customWidth="1"/>
    <col min="9223" max="9223" width="17.140625" customWidth="1"/>
    <col min="9224" max="9224" width="16.7109375" customWidth="1"/>
    <col min="9473" max="9473" width="18" customWidth="1"/>
    <col min="9474" max="9474" width="18.7109375" customWidth="1"/>
    <col min="9475" max="9475" width="18.5703125" customWidth="1"/>
    <col min="9476" max="9476" width="18.28515625" customWidth="1"/>
    <col min="9477" max="9477" width="18.42578125" customWidth="1"/>
    <col min="9478" max="9478" width="19.28515625" customWidth="1"/>
    <col min="9479" max="9479" width="17.140625" customWidth="1"/>
    <col min="9480" max="9480" width="16.7109375" customWidth="1"/>
    <col min="9729" max="9729" width="18" customWidth="1"/>
    <col min="9730" max="9730" width="18.7109375" customWidth="1"/>
    <col min="9731" max="9731" width="18.5703125" customWidth="1"/>
    <col min="9732" max="9732" width="18.28515625" customWidth="1"/>
    <col min="9733" max="9733" width="18.42578125" customWidth="1"/>
    <col min="9734" max="9734" width="19.28515625" customWidth="1"/>
    <col min="9735" max="9735" width="17.140625" customWidth="1"/>
    <col min="9736" max="9736" width="16.7109375" customWidth="1"/>
    <col min="9985" max="9985" width="18" customWidth="1"/>
    <col min="9986" max="9986" width="18.7109375" customWidth="1"/>
    <col min="9987" max="9987" width="18.5703125" customWidth="1"/>
    <col min="9988" max="9988" width="18.28515625" customWidth="1"/>
    <col min="9989" max="9989" width="18.42578125" customWidth="1"/>
    <col min="9990" max="9990" width="19.28515625" customWidth="1"/>
    <col min="9991" max="9991" width="17.140625" customWidth="1"/>
    <col min="9992" max="9992" width="16.7109375" customWidth="1"/>
    <col min="10241" max="10241" width="18" customWidth="1"/>
    <col min="10242" max="10242" width="18.7109375" customWidth="1"/>
    <col min="10243" max="10243" width="18.5703125" customWidth="1"/>
    <col min="10244" max="10244" width="18.28515625" customWidth="1"/>
    <col min="10245" max="10245" width="18.42578125" customWidth="1"/>
    <col min="10246" max="10246" width="19.28515625" customWidth="1"/>
    <col min="10247" max="10247" width="17.140625" customWidth="1"/>
    <col min="10248" max="10248" width="16.7109375" customWidth="1"/>
    <col min="10497" max="10497" width="18" customWidth="1"/>
    <col min="10498" max="10498" width="18.7109375" customWidth="1"/>
    <col min="10499" max="10499" width="18.5703125" customWidth="1"/>
    <col min="10500" max="10500" width="18.28515625" customWidth="1"/>
    <col min="10501" max="10501" width="18.42578125" customWidth="1"/>
    <col min="10502" max="10502" width="19.28515625" customWidth="1"/>
    <col min="10503" max="10503" width="17.140625" customWidth="1"/>
    <col min="10504" max="10504" width="16.7109375" customWidth="1"/>
    <col min="10753" max="10753" width="18" customWidth="1"/>
    <col min="10754" max="10754" width="18.7109375" customWidth="1"/>
    <col min="10755" max="10755" width="18.5703125" customWidth="1"/>
    <col min="10756" max="10756" width="18.28515625" customWidth="1"/>
    <col min="10757" max="10757" width="18.42578125" customWidth="1"/>
    <col min="10758" max="10758" width="19.28515625" customWidth="1"/>
    <col min="10759" max="10759" width="17.140625" customWidth="1"/>
    <col min="10760" max="10760" width="16.7109375" customWidth="1"/>
    <col min="11009" max="11009" width="18" customWidth="1"/>
    <col min="11010" max="11010" width="18.7109375" customWidth="1"/>
    <col min="11011" max="11011" width="18.5703125" customWidth="1"/>
    <col min="11012" max="11012" width="18.28515625" customWidth="1"/>
    <col min="11013" max="11013" width="18.42578125" customWidth="1"/>
    <col min="11014" max="11014" width="19.28515625" customWidth="1"/>
    <col min="11015" max="11015" width="17.140625" customWidth="1"/>
    <col min="11016" max="11016" width="16.7109375" customWidth="1"/>
    <col min="11265" max="11265" width="18" customWidth="1"/>
    <col min="11266" max="11266" width="18.7109375" customWidth="1"/>
    <col min="11267" max="11267" width="18.5703125" customWidth="1"/>
    <col min="11268" max="11268" width="18.28515625" customWidth="1"/>
    <col min="11269" max="11269" width="18.42578125" customWidth="1"/>
    <col min="11270" max="11270" width="19.28515625" customWidth="1"/>
    <col min="11271" max="11271" width="17.140625" customWidth="1"/>
    <col min="11272" max="11272" width="16.7109375" customWidth="1"/>
    <col min="11521" max="11521" width="18" customWidth="1"/>
    <col min="11522" max="11522" width="18.7109375" customWidth="1"/>
    <col min="11523" max="11523" width="18.5703125" customWidth="1"/>
    <col min="11524" max="11524" width="18.28515625" customWidth="1"/>
    <col min="11525" max="11525" width="18.42578125" customWidth="1"/>
    <col min="11526" max="11526" width="19.28515625" customWidth="1"/>
    <col min="11527" max="11527" width="17.140625" customWidth="1"/>
    <col min="11528" max="11528" width="16.7109375" customWidth="1"/>
    <col min="11777" max="11777" width="18" customWidth="1"/>
    <col min="11778" max="11778" width="18.7109375" customWidth="1"/>
    <col min="11779" max="11779" width="18.5703125" customWidth="1"/>
    <col min="11780" max="11780" width="18.28515625" customWidth="1"/>
    <col min="11781" max="11781" width="18.42578125" customWidth="1"/>
    <col min="11782" max="11782" width="19.28515625" customWidth="1"/>
    <col min="11783" max="11783" width="17.140625" customWidth="1"/>
    <col min="11784" max="11784" width="16.7109375" customWidth="1"/>
    <col min="12033" max="12033" width="18" customWidth="1"/>
    <col min="12034" max="12034" width="18.7109375" customWidth="1"/>
    <col min="12035" max="12035" width="18.5703125" customWidth="1"/>
    <col min="12036" max="12036" width="18.28515625" customWidth="1"/>
    <col min="12037" max="12037" width="18.42578125" customWidth="1"/>
    <col min="12038" max="12038" width="19.28515625" customWidth="1"/>
    <col min="12039" max="12039" width="17.140625" customWidth="1"/>
    <col min="12040" max="12040" width="16.7109375" customWidth="1"/>
    <col min="12289" max="12289" width="18" customWidth="1"/>
    <col min="12290" max="12290" width="18.7109375" customWidth="1"/>
    <col min="12291" max="12291" width="18.5703125" customWidth="1"/>
    <col min="12292" max="12292" width="18.28515625" customWidth="1"/>
    <col min="12293" max="12293" width="18.42578125" customWidth="1"/>
    <col min="12294" max="12294" width="19.28515625" customWidth="1"/>
    <col min="12295" max="12295" width="17.140625" customWidth="1"/>
    <col min="12296" max="12296" width="16.7109375" customWidth="1"/>
    <col min="12545" max="12545" width="18" customWidth="1"/>
    <col min="12546" max="12546" width="18.7109375" customWidth="1"/>
    <col min="12547" max="12547" width="18.5703125" customWidth="1"/>
    <col min="12548" max="12548" width="18.28515625" customWidth="1"/>
    <col min="12549" max="12549" width="18.42578125" customWidth="1"/>
    <col min="12550" max="12550" width="19.28515625" customWidth="1"/>
    <col min="12551" max="12551" width="17.140625" customWidth="1"/>
    <col min="12552" max="12552" width="16.7109375" customWidth="1"/>
    <col min="12801" max="12801" width="18" customWidth="1"/>
    <col min="12802" max="12802" width="18.7109375" customWidth="1"/>
    <col min="12803" max="12803" width="18.5703125" customWidth="1"/>
    <col min="12804" max="12804" width="18.28515625" customWidth="1"/>
    <col min="12805" max="12805" width="18.42578125" customWidth="1"/>
    <col min="12806" max="12806" width="19.28515625" customWidth="1"/>
    <col min="12807" max="12807" width="17.140625" customWidth="1"/>
    <col min="12808" max="12808" width="16.7109375" customWidth="1"/>
    <col min="13057" max="13057" width="18" customWidth="1"/>
    <col min="13058" max="13058" width="18.7109375" customWidth="1"/>
    <col min="13059" max="13059" width="18.5703125" customWidth="1"/>
    <col min="13060" max="13060" width="18.28515625" customWidth="1"/>
    <col min="13061" max="13061" width="18.42578125" customWidth="1"/>
    <col min="13062" max="13062" width="19.28515625" customWidth="1"/>
    <col min="13063" max="13063" width="17.140625" customWidth="1"/>
    <col min="13064" max="13064" width="16.7109375" customWidth="1"/>
    <col min="13313" max="13313" width="18" customWidth="1"/>
    <col min="13314" max="13314" width="18.7109375" customWidth="1"/>
    <col min="13315" max="13315" width="18.5703125" customWidth="1"/>
    <col min="13316" max="13316" width="18.28515625" customWidth="1"/>
    <col min="13317" max="13317" width="18.42578125" customWidth="1"/>
    <col min="13318" max="13318" width="19.28515625" customWidth="1"/>
    <col min="13319" max="13319" width="17.140625" customWidth="1"/>
    <col min="13320" max="13320" width="16.7109375" customWidth="1"/>
    <col min="13569" max="13569" width="18" customWidth="1"/>
    <col min="13570" max="13570" width="18.7109375" customWidth="1"/>
    <col min="13571" max="13571" width="18.5703125" customWidth="1"/>
    <col min="13572" max="13572" width="18.28515625" customWidth="1"/>
    <col min="13573" max="13573" width="18.42578125" customWidth="1"/>
    <col min="13574" max="13574" width="19.28515625" customWidth="1"/>
    <col min="13575" max="13575" width="17.140625" customWidth="1"/>
    <col min="13576" max="13576" width="16.7109375" customWidth="1"/>
    <col min="13825" max="13825" width="18" customWidth="1"/>
    <col min="13826" max="13826" width="18.7109375" customWidth="1"/>
    <col min="13827" max="13827" width="18.5703125" customWidth="1"/>
    <col min="13828" max="13828" width="18.28515625" customWidth="1"/>
    <col min="13829" max="13829" width="18.42578125" customWidth="1"/>
    <col min="13830" max="13830" width="19.28515625" customWidth="1"/>
    <col min="13831" max="13831" width="17.140625" customWidth="1"/>
    <col min="13832" max="13832" width="16.7109375" customWidth="1"/>
    <col min="14081" max="14081" width="18" customWidth="1"/>
    <col min="14082" max="14082" width="18.7109375" customWidth="1"/>
    <col min="14083" max="14083" width="18.5703125" customWidth="1"/>
    <col min="14084" max="14084" width="18.28515625" customWidth="1"/>
    <col min="14085" max="14085" width="18.42578125" customWidth="1"/>
    <col min="14086" max="14086" width="19.28515625" customWidth="1"/>
    <col min="14087" max="14087" width="17.140625" customWidth="1"/>
    <col min="14088" max="14088" width="16.7109375" customWidth="1"/>
    <col min="14337" max="14337" width="18" customWidth="1"/>
    <col min="14338" max="14338" width="18.7109375" customWidth="1"/>
    <col min="14339" max="14339" width="18.5703125" customWidth="1"/>
    <col min="14340" max="14340" width="18.28515625" customWidth="1"/>
    <col min="14341" max="14341" width="18.42578125" customWidth="1"/>
    <col min="14342" max="14342" width="19.28515625" customWidth="1"/>
    <col min="14343" max="14343" width="17.140625" customWidth="1"/>
    <col min="14344" max="14344" width="16.7109375" customWidth="1"/>
    <col min="14593" max="14593" width="18" customWidth="1"/>
    <col min="14594" max="14594" width="18.7109375" customWidth="1"/>
    <col min="14595" max="14595" width="18.5703125" customWidth="1"/>
    <col min="14596" max="14596" width="18.28515625" customWidth="1"/>
    <col min="14597" max="14597" width="18.42578125" customWidth="1"/>
    <col min="14598" max="14598" width="19.28515625" customWidth="1"/>
    <col min="14599" max="14599" width="17.140625" customWidth="1"/>
    <col min="14600" max="14600" width="16.7109375" customWidth="1"/>
    <col min="14849" max="14849" width="18" customWidth="1"/>
    <col min="14850" max="14850" width="18.7109375" customWidth="1"/>
    <col min="14851" max="14851" width="18.5703125" customWidth="1"/>
    <col min="14852" max="14852" width="18.28515625" customWidth="1"/>
    <col min="14853" max="14853" width="18.42578125" customWidth="1"/>
    <col min="14854" max="14854" width="19.28515625" customWidth="1"/>
    <col min="14855" max="14855" width="17.140625" customWidth="1"/>
    <col min="14856" max="14856" width="16.7109375" customWidth="1"/>
    <col min="15105" max="15105" width="18" customWidth="1"/>
    <col min="15106" max="15106" width="18.7109375" customWidth="1"/>
    <col min="15107" max="15107" width="18.5703125" customWidth="1"/>
    <col min="15108" max="15108" width="18.28515625" customWidth="1"/>
    <col min="15109" max="15109" width="18.42578125" customWidth="1"/>
    <col min="15110" max="15110" width="19.28515625" customWidth="1"/>
    <col min="15111" max="15111" width="17.140625" customWidth="1"/>
    <col min="15112" max="15112" width="16.7109375" customWidth="1"/>
    <col min="15361" max="15361" width="18" customWidth="1"/>
    <col min="15362" max="15362" width="18.7109375" customWidth="1"/>
    <col min="15363" max="15363" width="18.5703125" customWidth="1"/>
    <col min="15364" max="15364" width="18.28515625" customWidth="1"/>
    <col min="15365" max="15365" width="18.42578125" customWidth="1"/>
    <col min="15366" max="15366" width="19.28515625" customWidth="1"/>
    <col min="15367" max="15367" width="17.140625" customWidth="1"/>
    <col min="15368" max="15368" width="16.7109375" customWidth="1"/>
    <col min="15617" max="15617" width="18" customWidth="1"/>
    <col min="15618" max="15618" width="18.7109375" customWidth="1"/>
    <col min="15619" max="15619" width="18.5703125" customWidth="1"/>
    <col min="15620" max="15620" width="18.28515625" customWidth="1"/>
    <col min="15621" max="15621" width="18.42578125" customWidth="1"/>
    <col min="15622" max="15622" width="19.28515625" customWidth="1"/>
    <col min="15623" max="15623" width="17.140625" customWidth="1"/>
    <col min="15624" max="15624" width="16.7109375" customWidth="1"/>
    <col min="15873" max="15873" width="18" customWidth="1"/>
    <col min="15874" max="15874" width="18.7109375" customWidth="1"/>
    <col min="15875" max="15875" width="18.5703125" customWidth="1"/>
    <col min="15876" max="15876" width="18.28515625" customWidth="1"/>
    <col min="15877" max="15877" width="18.42578125" customWidth="1"/>
    <col min="15878" max="15878" width="19.28515625" customWidth="1"/>
    <col min="15879" max="15879" width="17.140625" customWidth="1"/>
    <col min="15880" max="15880" width="16.7109375" customWidth="1"/>
    <col min="16129" max="16129" width="18" customWidth="1"/>
    <col min="16130" max="16130" width="18.7109375" customWidth="1"/>
    <col min="16131" max="16131" width="18.5703125" customWidth="1"/>
    <col min="16132" max="16132" width="18.28515625" customWidth="1"/>
    <col min="16133" max="16133" width="18.42578125" customWidth="1"/>
    <col min="16134" max="16134" width="19.28515625" customWidth="1"/>
    <col min="16135" max="16135" width="17.140625" customWidth="1"/>
    <col min="16136" max="16136" width="16.7109375" customWidth="1"/>
  </cols>
  <sheetData>
    <row r="1" spans="1:8" x14ac:dyDescent="0.25">
      <c r="A1" s="57" t="s">
        <v>205</v>
      </c>
      <c r="B1" s="57"/>
      <c r="C1" s="57"/>
      <c r="D1" s="57"/>
      <c r="E1" s="57"/>
      <c r="F1" s="57"/>
    </row>
    <row r="2" spans="1:8" x14ac:dyDescent="0.25">
      <c r="A2" s="57"/>
      <c r="B2" s="57"/>
      <c r="C2" s="57"/>
      <c r="D2" s="57"/>
      <c r="E2" s="57"/>
      <c r="F2" s="57"/>
    </row>
    <row r="3" spans="1:8" x14ac:dyDescent="0.25">
      <c r="A3" s="58" t="s">
        <v>206</v>
      </c>
      <c r="B3" s="57"/>
      <c r="C3" s="57"/>
      <c r="D3" s="57"/>
      <c r="E3" s="57"/>
      <c r="F3" s="57"/>
    </row>
    <row r="4" spans="1:8" x14ac:dyDescent="0.25">
      <c r="A4" s="58"/>
      <c r="B4" s="57"/>
      <c r="C4" s="57"/>
      <c r="D4" s="57"/>
      <c r="E4" s="57"/>
      <c r="F4" s="57"/>
    </row>
    <row r="5" spans="1:8" x14ac:dyDescent="0.25">
      <c r="A5" s="57" t="s">
        <v>207</v>
      </c>
      <c r="B5" s="57"/>
      <c r="C5" s="57"/>
      <c r="D5" s="57"/>
      <c r="E5" s="57"/>
      <c r="F5" s="57"/>
    </row>
    <row r="6" spans="1:8" x14ac:dyDescent="0.25">
      <c r="A6" s="57"/>
      <c r="B6" s="57"/>
      <c r="C6" s="57"/>
      <c r="D6" s="57"/>
      <c r="E6" s="57"/>
      <c r="F6" s="57"/>
    </row>
    <row r="7" spans="1:8" ht="15.75" thickBot="1" x14ac:dyDescent="0.3">
      <c r="A7" s="57" t="s">
        <v>208</v>
      </c>
      <c r="B7" s="57"/>
      <c r="C7" s="57"/>
      <c r="D7" s="57"/>
      <c r="E7" s="57"/>
      <c r="F7" s="57"/>
    </row>
    <row r="8" spans="1:8" ht="45" x14ac:dyDescent="0.25">
      <c r="A8" s="59" t="s">
        <v>209</v>
      </c>
      <c r="B8" s="60" t="s">
        <v>210</v>
      </c>
      <c r="C8" s="60" t="s">
        <v>211</v>
      </c>
      <c r="D8" s="60" t="s">
        <v>212</v>
      </c>
      <c r="E8" s="60" t="s">
        <v>213</v>
      </c>
      <c r="F8" s="60" t="s">
        <v>214</v>
      </c>
      <c r="G8" s="60" t="s">
        <v>215</v>
      </c>
      <c r="H8" s="61" t="s">
        <v>216</v>
      </c>
    </row>
    <row r="9" spans="1:8" x14ac:dyDescent="0.25">
      <c r="A9" s="62"/>
      <c r="B9" s="63">
        <v>0</v>
      </c>
      <c r="C9" s="63">
        <v>0</v>
      </c>
      <c r="D9" s="63">
        <v>0</v>
      </c>
      <c r="E9" s="63">
        <v>0</v>
      </c>
      <c r="F9" s="63" t="s">
        <v>142</v>
      </c>
      <c r="G9" s="63" t="s">
        <v>142</v>
      </c>
      <c r="H9" s="63" t="s">
        <v>142</v>
      </c>
    </row>
    <row r="11" spans="1:8" x14ac:dyDescent="0.25">
      <c r="A11" s="57" t="s">
        <v>217</v>
      </c>
      <c r="B11" s="57"/>
      <c r="C11" s="57"/>
      <c r="D11" s="57"/>
      <c r="E11" s="57"/>
      <c r="F11" s="57"/>
      <c r="G11" s="57"/>
      <c r="H11" s="57"/>
    </row>
    <row r="12" spans="1:8" x14ac:dyDescent="0.25">
      <c r="A12" s="57"/>
      <c r="B12" s="57"/>
      <c r="C12" s="57"/>
      <c r="D12" s="57"/>
      <c r="E12" s="57"/>
      <c r="F12" s="57"/>
      <c r="G12" s="64"/>
      <c r="H12" s="64"/>
    </row>
    <row r="13" spans="1:8" x14ac:dyDescent="0.25">
      <c r="A13" s="57" t="s">
        <v>218</v>
      </c>
      <c r="B13" s="57"/>
      <c r="C13" s="65"/>
      <c r="D13" s="57"/>
      <c r="E13" s="57"/>
      <c r="F13" s="57"/>
      <c r="G13" s="57"/>
      <c r="H13" s="57"/>
    </row>
    <row r="14" spans="1:8" x14ac:dyDescent="0.25">
      <c r="A14" s="66"/>
      <c r="B14" s="67"/>
      <c r="C14" s="67"/>
      <c r="D14" s="67"/>
      <c r="E14" s="67"/>
      <c r="F14" s="67"/>
      <c r="G14" s="67"/>
      <c r="H14" s="67"/>
    </row>
    <row r="15" spans="1:8" x14ac:dyDescent="0.25">
      <c r="A15" s="57" t="s">
        <v>219</v>
      </c>
      <c r="B15" s="67"/>
      <c r="C15" s="67"/>
      <c r="D15" s="67"/>
      <c r="E15" s="67"/>
      <c r="F15" s="67"/>
      <c r="G15" s="67"/>
      <c r="H15" s="67"/>
    </row>
    <row r="16" spans="1:8" x14ac:dyDescent="0.25">
      <c r="A16" s="66"/>
      <c r="B16" s="67"/>
      <c r="C16" s="67"/>
      <c r="D16" s="67"/>
      <c r="E16" s="67"/>
      <c r="F16" s="67"/>
      <c r="G16" s="67"/>
      <c r="H16" s="67"/>
    </row>
    <row r="17" spans="1:8" x14ac:dyDescent="0.25">
      <c r="A17" s="57" t="s">
        <v>220</v>
      </c>
      <c r="B17" s="57"/>
      <c r="C17" s="57"/>
      <c r="D17" s="57"/>
      <c r="E17" s="57"/>
      <c r="F17" s="57"/>
      <c r="G17" s="57"/>
      <c r="H17" s="57"/>
    </row>
    <row r="18" spans="1:8" x14ac:dyDescent="0.25">
      <c r="A18" s="57"/>
      <c r="B18" s="57"/>
      <c r="C18" s="57"/>
      <c r="D18" s="57"/>
      <c r="E18" s="57"/>
      <c r="F18" s="57"/>
      <c r="G18" s="57"/>
      <c r="H18" s="57"/>
    </row>
    <row r="19" spans="1:8" x14ac:dyDescent="0.25">
      <c r="A19" s="57" t="s">
        <v>221</v>
      </c>
      <c r="B19" s="57"/>
      <c r="C19" s="57"/>
      <c r="D19" s="57"/>
      <c r="E19" s="57"/>
      <c r="F19" s="57"/>
      <c r="G19" s="57"/>
      <c r="H19" s="57"/>
    </row>
    <row r="20" spans="1:8" x14ac:dyDescent="0.25">
      <c r="A20" s="57"/>
      <c r="B20" s="57"/>
      <c r="C20" s="57"/>
      <c r="D20" s="57"/>
      <c r="E20" s="57"/>
      <c r="F20" s="57"/>
      <c r="G20" s="57"/>
      <c r="H20" s="57"/>
    </row>
    <row r="21" spans="1:8" x14ac:dyDescent="0.25">
      <c r="A21" s="57" t="s">
        <v>222</v>
      </c>
      <c r="B21" s="68"/>
      <c r="C21" s="57"/>
      <c r="D21" s="57"/>
      <c r="E21" s="57"/>
      <c r="F21" s="57"/>
      <c r="G21" s="57"/>
      <c r="H21" s="57"/>
    </row>
    <row r="22" spans="1:8" x14ac:dyDescent="0.25">
      <c r="A22" s="57"/>
      <c r="B22" s="68"/>
      <c r="C22" s="57"/>
      <c r="D22" s="57"/>
      <c r="E22" s="57"/>
      <c r="F22" s="57"/>
      <c r="G22" s="57"/>
      <c r="H22" s="57"/>
    </row>
    <row r="23" spans="1:8" x14ac:dyDescent="0.25">
      <c r="A23" s="57" t="s">
        <v>223</v>
      </c>
      <c r="B23" s="68"/>
      <c r="C23" s="57"/>
      <c r="D23" s="57"/>
      <c r="E23" s="57"/>
      <c r="F23" s="57"/>
      <c r="G23" s="57"/>
      <c r="H23" s="57"/>
    </row>
    <row r="24" spans="1:8" x14ac:dyDescent="0.25">
      <c r="A24" s="57"/>
      <c r="B24" s="68"/>
      <c r="C24" s="57"/>
      <c r="D24" s="57"/>
      <c r="E24" s="57"/>
      <c r="F24" s="57"/>
      <c r="G24" s="57"/>
      <c r="H24" s="57"/>
    </row>
    <row r="25" spans="1:8" x14ac:dyDescent="0.25">
      <c r="A25" s="57" t="s">
        <v>224</v>
      </c>
      <c r="B25" s="68"/>
      <c r="C25" s="57"/>
      <c r="D25" s="57"/>
      <c r="E25" s="57"/>
      <c r="F25" s="57"/>
      <c r="G25" s="57"/>
      <c r="H25" s="57"/>
    </row>
    <row r="26" spans="1:8" x14ac:dyDescent="0.25">
      <c r="A26" s="57"/>
      <c r="B26" s="68"/>
      <c r="C26" s="57"/>
      <c r="D26" s="57"/>
      <c r="E26" s="57"/>
      <c r="F26" s="57"/>
      <c r="G26" s="57"/>
      <c r="H26" s="57"/>
    </row>
    <row r="27" spans="1:8" x14ac:dyDescent="0.25">
      <c r="A27" s="57"/>
      <c r="B27" s="68"/>
      <c r="C27" s="57"/>
      <c r="D27" s="57"/>
      <c r="E27" s="57"/>
      <c r="F27" s="57"/>
      <c r="G27" s="57"/>
      <c r="H27" s="57"/>
    </row>
    <row r="28" spans="1:8" x14ac:dyDescent="0.25">
      <c r="A28" s="57" t="s">
        <v>225</v>
      </c>
      <c r="B28" s="69"/>
      <c r="C28" s="57"/>
      <c r="D28" s="57"/>
      <c r="E28" s="57"/>
      <c r="F28" s="57"/>
      <c r="G28" s="57"/>
      <c r="H28" s="57"/>
    </row>
    <row r="29" spans="1:8" x14ac:dyDescent="0.25">
      <c r="A29" s="57"/>
      <c r="B29" s="69"/>
      <c r="C29" s="57"/>
      <c r="D29" s="57"/>
      <c r="E29" s="57"/>
      <c r="F29" s="57"/>
      <c r="G29" s="57"/>
      <c r="H29" s="57"/>
    </row>
    <row r="30" spans="1:8" x14ac:dyDescent="0.25">
      <c r="A30" s="57"/>
      <c r="B30" s="69"/>
      <c r="C30" s="57"/>
      <c r="D30" s="57"/>
      <c r="E30" s="57"/>
      <c r="F30" s="57"/>
      <c r="G30" s="57"/>
      <c r="H30" s="57"/>
    </row>
    <row r="31" spans="1:8" x14ac:dyDescent="0.25">
      <c r="A31" s="70"/>
      <c r="B31" s="71"/>
      <c r="C31" s="70"/>
      <c r="D31" s="70"/>
      <c r="E31" s="70"/>
      <c r="F31" s="70"/>
      <c r="G31" s="70"/>
      <c r="H31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TBF</vt:lpstr>
      <vt:lpstr>TBF Performance</vt:lpstr>
      <vt:lpstr>Annexure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Rahul-Kondaskar</dc:creator>
  <cp:lastModifiedBy>Chandrakant Gajane</cp:lastModifiedBy>
  <dcterms:created xsi:type="dcterms:W3CDTF">2026-04-07T07:42:35Z</dcterms:created>
  <dcterms:modified xsi:type="dcterms:W3CDTF">2026-04-08T06:22:08Z</dcterms:modified>
</cp:coreProperties>
</file>