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B0BD4CBE-2113-4A58-8316-0B43143282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Liquid Fund" sheetId="1" r:id="rId1"/>
  </sheets>
  <definedNames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E44" i="1"/>
  <c r="F44" i="1" s="1"/>
</calcChain>
</file>

<file path=xl/sharedStrings.xml><?xml version="1.0" encoding="utf-8"?>
<sst xmlns="http://schemas.openxmlformats.org/spreadsheetml/2006/main" count="137" uniqueCount="99">
  <si>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</si>
  <si>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</si>
  <si>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</si>
  <si>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</si>
  <si>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</si>
  <si>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</si>
  <si>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</si>
  <si>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Debt Instruments</t>
  </si>
  <si>
    <t>(a) Listed / awaiting listing on Stock Exchange</t>
  </si>
  <si>
    <t>Subtotal</t>
  </si>
  <si>
    <t>NIL</t>
  </si>
  <si>
    <t>(b) Privately placed / Unlisted</t>
  </si>
  <si>
    <t>INF0RQ622028</t>
  </si>
  <si>
    <t>(c) Securitised Debt</t>
  </si>
  <si>
    <t>Total</t>
  </si>
  <si>
    <t>Money Market Instruments</t>
  </si>
  <si>
    <t>Tri Party Repo (TREPs)</t>
  </si>
  <si>
    <t>TREPS</t>
  </si>
  <si>
    <t>INTRPS011026</t>
  </si>
  <si>
    <t>Others</t>
  </si>
  <si>
    <t>Net Current Assets</t>
  </si>
  <si>
    <t>GRAND TOTAL</t>
  </si>
  <si>
    <t>^^  As per AMFI Best Practices Circular dated 24 March 2021, Yield to Call (YTC) to be disclosed for Perpetual Bonds issued by Banks.</t>
  </si>
  <si>
    <t>Notes :</t>
  </si>
  <si>
    <t>Plan/Option</t>
  </si>
  <si>
    <t>As on September 30, 2026</t>
  </si>
  <si>
    <t>5) Total outstanding exposure in derivative instruments as on September 30, 2026 : Nil.</t>
  </si>
  <si>
    <t xml:space="preserve">Unifi Liquid Fund
(An open-ended Liquid scheme. A relatively low interest rate risk and moderate credit risk) </t>
  </si>
  <si>
    <t>Equity &amp; Equity related</t>
  </si>
  <si>
    <t>(a) Listed / awaiting listing on Stock Exchanges</t>
  </si>
  <si>
    <t>(b) Unlisted</t>
  </si>
  <si>
    <t>Non Convertible Debentures</t>
  </si>
  <si>
    <t>Certificate of Deposits</t>
  </si>
  <si>
    <t>Mutual Fund Units/CDMDF</t>
  </si>
  <si>
    <t>(a) Investment in Mutual Fund Units</t>
  </si>
  <si>
    <t>Sub Total</t>
  </si>
  <si>
    <t>(b)Corporate Debt Market Development Fund (CDMDF)</t>
  </si>
  <si>
    <t>Corporate Debt Market Development Fund - Class A2</t>
  </si>
  <si>
    <t>Interest Rate Derivatives (both IRS/IRF)</t>
  </si>
  <si>
    <t>Margin Money for derivative/TREPS</t>
  </si>
  <si>
    <t>**Thinly Traded/ Non Traded Securities/ Illiquid Securities</t>
  </si>
  <si>
    <t>Net Current Assets includes interest accrued on fixed income securities - Wherever applicable.</t>
  </si>
  <si>
    <t>Disclosure for investments in derivative instruments</t>
  </si>
  <si>
    <t>Name of security</t>
  </si>
  <si>
    <t>ISIN Code</t>
  </si>
  <si>
    <t>Net receivable/ market value</t>
  </si>
  <si>
    <t>(Rs. in Lakhs)</t>
  </si>
  <si>
    <t>(as % to NAV)</t>
  </si>
  <si>
    <t>3) Net Assets Value per unit (in Rs) are as follows :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</si>
  <si>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</si>
  <si>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</si>
  <si>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</si>
  <si>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</si>
  <si>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</si>
  <si>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</si>
  <si>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</si>
  <si>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>• Regular Income over the short-term investment horizon</t>
  </si>
  <si>
    <t>• Investment in debt and money market instruments with maturity upto 91 days.</t>
  </si>
  <si>
    <t>Benchmark Risk-o-meter is low to moderate.</t>
  </si>
  <si>
    <t>*Investors should consult their financial advisers if in doubt about whether the product is suitable for them.</t>
  </si>
  <si>
    <t>Potential Risk Class (“PRC”) Matrix of the Scheme</t>
  </si>
  <si>
    <t>Potential Risk Class</t>
  </si>
  <si>
    <r>
      <t xml:space="preserve">Credit Risk </t>
    </r>
    <r>
      <rPr>
        <b/>
        <sz val="8.5"/>
        <color indexed="8"/>
        <rFont val="DengXian"/>
        <charset val="134"/>
      </rPr>
      <t>→</t>
    </r>
  </si>
  <si>
    <t>Relatively Low (Class A)</t>
  </si>
  <si>
    <t>Moderate (Class B)</t>
  </si>
  <si>
    <t>Relatively High (Class C)</t>
  </si>
  <si>
    <r>
      <t xml:space="preserve">Interest Rate Risk </t>
    </r>
    <r>
      <rPr>
        <b/>
        <sz val="8.5"/>
        <color indexed="8"/>
        <rFont val="DengXian"/>
        <charset val="134"/>
      </rPr>
      <t>↓</t>
    </r>
  </si>
  <si>
    <t>Relatively Low</t>
  </si>
  <si>
    <t>B I</t>
  </si>
  <si>
    <t>Moderate</t>
  </si>
  <si>
    <t xml:space="preserve">Relatively High </t>
  </si>
  <si>
    <t>B-I – A Scheme with Relatively Low Interest Rate Risk and Moderate Credit Risk</t>
  </si>
  <si>
    <t>Hedging Positions through Futures as on 30th September 2026 : Nil</t>
  </si>
  <si>
    <t>Other than Hedging Positions through Futures as on 30th September 2026 : Nil</t>
  </si>
  <si>
    <t>Hedging Position through Put Option as on  30th September 2026: Nil</t>
  </si>
  <si>
    <t>Other than Hedging Positions through Options as on 30th September 2026: Nil</t>
  </si>
  <si>
    <t>Hedging Positions through Swaps as on 30th September 2026: Nil</t>
  </si>
  <si>
    <t>Hedging Positions through Interest Rate Futures as on 30th September 2026: Nil</t>
  </si>
  <si>
    <t>Writing of call options under covered call strategy as on 30th September 2026: Nil</t>
  </si>
  <si>
    <t>1) Exposure to securities classified as below investment grade or default as on 30th September 2026 :</t>
  </si>
  <si>
    <t xml:space="preserve">6) Total investments in Foreign Securities / ADRs / GDRs / Overseas ETFs as on September 30 ,2026 and its percentage to NAV : Nil. </t>
  </si>
  <si>
    <t xml:space="preserve">6) Macaulay Duration of the portfolio : 0.00 years </t>
  </si>
  <si>
    <t xml:space="preserve">7) Average Maturity of the portfolio : 0.00 years </t>
  </si>
  <si>
    <t>2) Total value and percentage of Illiquid equity/preference shares as on 30th September, 2026 is NIL</t>
  </si>
  <si>
    <t>For the period 1st September 2026 to 30th September 2026, following hedging transactions through futures have been squared off/expired : Nil</t>
  </si>
  <si>
    <t>For the period 1st September 2026 to 30th September 2026, non hedging transactions through futures which have already been squared off/expired :Nil</t>
  </si>
  <si>
    <t>For the period 1st September 2026 to 30th September 2026, hedging transactions through options which have been squared off/expired: Nil</t>
  </si>
  <si>
    <t>For the period 1st September 2026 to 30th September 2026, non hedging transactions through options which have already been squared off/expired :Nil</t>
  </si>
  <si>
    <t>For the period 1st September 2026 to 30th September 2026 the call options written which have been exercised/expired : Nil</t>
  </si>
  <si>
    <t>As on August 31, 2026</t>
  </si>
  <si>
    <t>3) Details of Dividend declared per unit (in Rs.) during the Period 1st September 2026 to 30th September 2026 : NIL</t>
  </si>
  <si>
    <t>4) No Bonus declared during the Period 1st September 2026 to 30th September 2026 : NIL</t>
  </si>
  <si>
    <t>1) Details of repo transactions in corporate debt securities for the period 1st September 2026 to 30th September 2026 : NIL</t>
  </si>
  <si>
    <t>2) Details of transactions of (Credit Default Swap) for period 1st September 2026 to 30th September 2026 : NIL</t>
  </si>
  <si>
    <t>Unifi Mutual Fund</t>
  </si>
  <si>
    <t>Monthly Portfolio Statement as on September 30, 2026</t>
  </si>
  <si>
    <r>
      <rPr>
        <sz val="11"/>
        <rFont val="Calibri"/>
        <family val="2"/>
      </rPr>
      <t xml:space="preserve">8) For more details on Scheme Performance, please refer to the following link : </t>
    </r>
    <r>
      <rPr>
        <u/>
        <sz val="11"/>
        <color theme="10"/>
        <rFont val="Calibri"/>
        <family val="2"/>
      </rPr>
      <t>Click here</t>
    </r>
  </si>
  <si>
    <r>
      <rPr>
        <sz val="11"/>
        <rFont val="Calibri"/>
        <family val="2"/>
      </rPr>
      <t xml:space="preserve">9) For disclosure of category wise portfolio overlap levels in Unifi Mutual Fund Schemes, please refer to the following link : </t>
    </r>
    <r>
      <rPr>
        <u/>
        <sz val="11"/>
        <color indexed="12"/>
        <rFont val="Calibri"/>
        <family val="2"/>
      </rPr>
      <t>Click here</t>
    </r>
  </si>
  <si>
    <t>Investors understand that their principal will be  at low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</si>
</sst>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"/>
  </numFmts>
  <fonts count="1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Franklin Gothic Book"/>
      <family val="2"/>
    </font>
    <font>
      <sz val="10"/>
      <name val="Tahoma"/>
      <family val="2"/>
    </font>
    <font>
      <b/>
      <u/>
      <sz val="10"/>
      <color theme="1"/>
      <name val="Tahoma"/>
      <family val="2"/>
    </font>
    <font>
      <b/>
      <sz val="8.5"/>
      <color theme="1"/>
      <name val="DM Sans"/>
    </font>
    <font>
      <b/>
      <sz val="8.5"/>
      <color indexed="8"/>
      <name val="DengXian"/>
      <charset val="134"/>
    </font>
    <font>
      <sz val="12"/>
      <color theme="1"/>
      <name val="Aptos"/>
      <family val="2"/>
    </font>
    <font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1" fillId="0" borderId="0"/>
    <xf numFmtId="43" fontId="1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64" fontId="4" fillId="0" borderId="1" xfId="0" applyNumberFormat="1" applyFont="1" applyBorder="1" applyAlignment="1">
      <alignment horizontal="center" vertical="top" wrapText="1"/>
    </xf>
    <xf numFmtId="4" fontId="0" fillId="0" borderId="1" xfId="0" applyNumberFormat="1" applyBorder="1" applyAlignment="1">
      <alignment horizontal="left" vertical="top" wrapText="1"/>
    </xf>
    <xf numFmtId="0" fontId="5" fillId="0" borderId="0" xfId="1" applyFont="1" applyAlignment="1">
      <alignment vertical="center"/>
    </xf>
    <xf numFmtId="0" fontId="5" fillId="0" borderId="0" xfId="2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5" fillId="0" borderId="0" xfId="3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8" fillId="0" borderId="10" xfId="1" applyFont="1" applyBorder="1" applyAlignment="1">
      <alignment vertical="center"/>
    </xf>
    <xf numFmtId="0" fontId="8" fillId="0" borderId="10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0" xfId="0" applyFont="1"/>
    <xf numFmtId="0" fontId="9" fillId="0" borderId="0" xfId="0" applyFont="1" applyAlignment="1">
      <alignment vertical="top" wrapText="1"/>
    </xf>
    <xf numFmtId="164" fontId="4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 wrapText="1"/>
    </xf>
    <xf numFmtId="4" fontId="7" fillId="0" borderId="0" xfId="0" applyNumberFormat="1" applyFont="1" applyAlignment="1">
      <alignment vertical="top" wrapText="1"/>
    </xf>
    <xf numFmtId="0" fontId="10" fillId="0" borderId="0" xfId="0" applyFont="1" applyAlignment="1">
      <alignment vertical="center"/>
    </xf>
    <xf numFmtId="0" fontId="10" fillId="0" borderId="14" xfId="0" applyFont="1" applyBorder="1" applyAlignment="1">
      <alignment horizontal="justify" vertical="center"/>
    </xf>
    <xf numFmtId="0" fontId="10" fillId="0" borderId="14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43" fontId="0" fillId="0" borderId="0" xfId="4" applyFont="1"/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0" borderId="10" xfId="5" applyFill="1" applyBorder="1" applyAlignment="1">
      <alignment horizontal="left"/>
    </xf>
    <xf numFmtId="0" fontId="17" fillId="0" borderId="18" xfId="5" applyFont="1" applyFill="1" applyBorder="1" applyAlignment="1">
      <alignment horizontal="left" vertical="top"/>
    </xf>
    <xf numFmtId="0" fontId="15" fillId="0" borderId="19" xfId="5" applyFill="1" applyBorder="1" applyAlignment="1">
      <alignment horizontal="left" vertical="top"/>
    </xf>
    <xf numFmtId="0" fontId="15" fillId="0" borderId="20" xfId="5" applyFill="1" applyBorder="1" applyAlignment="1">
      <alignment horizontal="left" vertical="top"/>
    </xf>
    <xf numFmtId="0" fontId="10" fillId="0" borderId="11" xfId="0" applyFont="1" applyBorder="1" applyAlignment="1">
      <alignment horizontal="justify" vertical="center"/>
    </xf>
    <xf numFmtId="0" fontId="10" fillId="0" borderId="12" xfId="0" applyFont="1" applyBorder="1" applyAlignment="1">
      <alignment horizontal="justify" vertical="center"/>
    </xf>
    <xf numFmtId="0" fontId="10" fillId="0" borderId="13" xfId="0" applyFont="1" applyBorder="1" applyAlignment="1">
      <alignment horizontal="justify" vertical="center"/>
    </xf>
    <xf numFmtId="0" fontId="10" fillId="0" borderId="15" xfId="0" applyFont="1" applyBorder="1" applyAlignment="1">
      <alignment horizontal="justify" vertical="center" wrapText="1"/>
    </xf>
    <xf numFmtId="0" fontId="10" fillId="0" borderId="14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/>
    </xf>
  </cellXfs>
  <cellStyles count="6">
    <cellStyle name="Comma" xfId="4" builtinId="3"/>
    <cellStyle name="Hyperlink" xfId="5" builtinId="8"/>
    <cellStyle name="Normal" xfId="0" builtinId="0"/>
    <cellStyle name="Normal 2" xfId="1" xr:uid="{FA7FE864-377C-4269-8FD6-47515F5068F7}"/>
    <cellStyle name="Normal 2 2" xfId="2" xr:uid="{033919AF-7096-4F91-BE86-BB2205EB744B}"/>
    <cellStyle name="Normal 3 2" xfId="3" xr:uid="{C3EE4AD6-0354-459D-9C39-CE057234475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108</xdr:row>
      <xdr:rowOff>139700</xdr:rowOff>
    </xdr:from>
    <xdr:to>
      <xdr:col>4</xdr:col>
      <xdr:colOff>941388</xdr:colOff>
      <xdr:row>122</xdr:row>
      <xdr:rowOff>25401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BFE591C-992E-402D-B4E8-2F5D3C856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2050" y="21005800"/>
          <a:ext cx="3752850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2222499</xdr:colOff>
      <xdr:row>110</xdr:row>
      <xdr:rowOff>39688</xdr:rowOff>
    </xdr:from>
    <xdr:to>
      <xdr:col>0</xdr:col>
      <xdr:colOff>6248304</xdr:colOff>
      <xdr:row>122</xdr:row>
      <xdr:rowOff>7939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E8E385-9128-30AA-659C-2B87AA77E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499" y="20756563"/>
          <a:ext cx="4025805" cy="2159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Scheme_Performance_DAAF_March.xlsx" TargetMode="External"/><Relationship Id="rId2" Type="http://schemas.openxmlformats.org/officeDocument/2006/relationships/hyperlink" Target="https://unifimf.com/wp-content/uploads/fund-sheets/Disclosure-of-category-wise-portfolio-overlap-levels-in-Unifi-Mutual-Fund-Schemes.pdf" TargetMode="External"/><Relationship Id="rId1" Type="http://schemas.openxmlformats.org/officeDocument/2006/relationships/hyperlink" Target="https://unifimf.com/wp-content/uploads/fund-sheets/Scheme_Performance_DAAF_Feb.xlsx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unifimf.com/wp-content/uploads/fund-sheets/Scheme_Performance_Liquid_Sep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showGridLines="0" tabSelected="1" zoomScale="80" zoomScaleNormal="80" workbookViewId="0">
      <selection sqref="A1:G1"/>
    </sheetView>
  </sheetViews>
  <sheetFormatPr defaultRowHeight="14.5" x14ac:dyDescent="0.35"/>
  <cols>
    <col min="1" max="1" width="90.26953125" customWidth="1"/>
    <col min="2" max="2" width="22.26953125" customWidth="1"/>
    <col min="3" max="3" width="17.26953125" customWidth="1"/>
    <col min="4" max="4" width="12.90625" customWidth="1"/>
    <col min="5" max="5" width="14.90625" customWidth="1"/>
    <col min="6" max="6" width="10.1796875" customWidth="1"/>
    <col min="7" max="7" width="10.08984375" customWidth="1"/>
    <col min="8" max="11" width="0.7265625" customWidth="1"/>
  </cols>
  <sheetData>
    <row r="1" spans="1:7" ht="18" customHeight="1" x14ac:dyDescent="0.35">
      <c r="A1" s="53" t="s">
        <v>94</v>
      </c>
      <c r="B1" s="54"/>
      <c r="C1" s="54"/>
      <c r="D1" s="54"/>
      <c r="E1" s="54"/>
      <c r="F1" s="54"/>
      <c r="G1" s="54"/>
    </row>
    <row r="2" spans="1:7" x14ac:dyDescent="0.35">
      <c r="A2" s="55" t="s">
        <v>27</v>
      </c>
      <c r="B2" s="56"/>
      <c r="C2" s="56"/>
      <c r="D2" s="56"/>
      <c r="E2" s="56"/>
      <c r="F2" s="56"/>
      <c r="G2" s="56"/>
    </row>
    <row r="3" spans="1:7" x14ac:dyDescent="0.35">
      <c r="A3" s="57"/>
      <c r="B3" s="58"/>
      <c r="C3" s="58"/>
      <c r="D3" s="58"/>
      <c r="E3" s="58"/>
      <c r="F3" s="58"/>
      <c r="G3" s="58"/>
    </row>
    <row r="4" spans="1:7" x14ac:dyDescent="0.35">
      <c r="A4" s="59" t="s">
        <v>95</v>
      </c>
      <c r="B4" s="60"/>
      <c r="C4" s="60"/>
      <c r="D4" s="60"/>
      <c r="E4" s="60"/>
      <c r="F4" s="60"/>
      <c r="G4" s="60"/>
    </row>
    <row r="5" spans="1:7" ht="37.5" x14ac:dyDescent="0.35">
      <c r="A5" s="45" t="s">
        <v>0</v>
      </c>
      <c r="B5" s="45" t="s">
        <v>1</v>
      </c>
      <c r="C5" s="45" t="s">
        <v>2</v>
      </c>
      <c r="D5" s="45" t="s">
        <v>3</v>
      </c>
      <c r="E5" s="45" t="s">
        <v>4</v>
      </c>
      <c r="F5" s="45" t="s">
        <v>5</v>
      </c>
      <c r="G5" s="45" t="s">
        <v>6</v>
      </c>
    </row>
    <row r="6" spans="1:7" x14ac:dyDescent="0.35">
      <c r="A6" s="3" t="s">
        <v>28</v>
      </c>
      <c r="B6" s="4"/>
      <c r="C6" s="4"/>
      <c r="D6" s="4"/>
      <c r="E6" s="4"/>
      <c r="F6" s="4"/>
      <c r="G6" s="4"/>
    </row>
    <row r="7" spans="1:7" x14ac:dyDescent="0.35">
      <c r="A7" s="3" t="s">
        <v>29</v>
      </c>
      <c r="B7" s="4"/>
      <c r="C7" s="4"/>
      <c r="D7" s="4"/>
      <c r="E7" s="4"/>
      <c r="F7" s="4"/>
      <c r="G7" s="4"/>
    </row>
    <row r="8" spans="1:7" x14ac:dyDescent="0.35">
      <c r="A8" s="3" t="s">
        <v>9</v>
      </c>
      <c r="B8" s="4"/>
      <c r="C8" s="4"/>
      <c r="D8" s="4"/>
      <c r="E8" s="5" t="s">
        <v>10</v>
      </c>
      <c r="F8" s="5" t="s">
        <v>10</v>
      </c>
      <c r="G8" s="4"/>
    </row>
    <row r="9" spans="1:7" x14ac:dyDescent="0.35">
      <c r="A9" s="3" t="s">
        <v>30</v>
      </c>
      <c r="B9" s="4"/>
      <c r="C9" s="4"/>
      <c r="D9" s="4"/>
      <c r="E9" s="4"/>
      <c r="F9" s="4"/>
      <c r="G9" s="4"/>
    </row>
    <row r="10" spans="1:7" x14ac:dyDescent="0.35">
      <c r="A10" s="3" t="s">
        <v>9</v>
      </c>
      <c r="B10" s="4"/>
      <c r="C10" s="4"/>
      <c r="D10" s="4"/>
      <c r="E10" s="5" t="s">
        <v>10</v>
      </c>
      <c r="F10" s="5" t="s">
        <v>10</v>
      </c>
      <c r="G10" s="4"/>
    </row>
    <row r="11" spans="1:7" x14ac:dyDescent="0.35">
      <c r="A11" s="3" t="s">
        <v>14</v>
      </c>
      <c r="B11" s="4"/>
      <c r="C11" s="4"/>
      <c r="D11" s="4"/>
      <c r="E11" s="5" t="s">
        <v>10</v>
      </c>
      <c r="F11" s="5" t="s">
        <v>10</v>
      </c>
      <c r="G11" s="4"/>
    </row>
    <row r="12" spans="1:7" x14ac:dyDescent="0.35">
      <c r="A12" s="3"/>
      <c r="B12" s="4"/>
      <c r="C12" s="4"/>
      <c r="D12" s="4"/>
      <c r="E12" s="4"/>
      <c r="F12" s="4"/>
      <c r="G12" s="4"/>
    </row>
    <row r="13" spans="1:7" x14ac:dyDescent="0.35">
      <c r="A13" s="3" t="s">
        <v>7</v>
      </c>
      <c r="B13" s="4"/>
      <c r="C13" s="4"/>
      <c r="D13" s="4"/>
      <c r="E13" s="4"/>
      <c r="F13" s="4"/>
      <c r="G13" s="4"/>
    </row>
    <row r="14" spans="1:7" x14ac:dyDescent="0.35">
      <c r="A14" s="3" t="s">
        <v>8</v>
      </c>
      <c r="B14" s="4"/>
      <c r="C14" s="4"/>
      <c r="D14" s="4"/>
      <c r="E14" s="4"/>
      <c r="F14" s="4"/>
      <c r="G14" s="4"/>
    </row>
    <row r="15" spans="1:7" x14ac:dyDescent="0.35">
      <c r="A15" s="3" t="s">
        <v>31</v>
      </c>
      <c r="B15" s="4"/>
      <c r="C15" s="4"/>
      <c r="D15" s="4"/>
      <c r="E15" s="4"/>
      <c r="F15" s="4"/>
      <c r="G15" s="4"/>
    </row>
    <row r="16" spans="1:7" x14ac:dyDescent="0.35">
      <c r="A16" s="3" t="s">
        <v>9</v>
      </c>
      <c r="B16" s="4"/>
      <c r="C16" s="4"/>
      <c r="D16" s="4"/>
      <c r="E16" s="5" t="s">
        <v>10</v>
      </c>
      <c r="F16" s="5" t="s">
        <v>10</v>
      </c>
      <c r="G16" s="4"/>
    </row>
    <row r="17" spans="1:7" x14ac:dyDescent="0.35">
      <c r="A17" s="3" t="s">
        <v>11</v>
      </c>
      <c r="B17" s="4"/>
      <c r="C17" s="4"/>
      <c r="D17" s="4"/>
      <c r="E17" s="5"/>
      <c r="F17" s="5"/>
      <c r="G17" s="4"/>
    </row>
    <row r="18" spans="1:7" x14ac:dyDescent="0.35">
      <c r="A18" s="3" t="s">
        <v>9</v>
      </c>
      <c r="B18" s="4"/>
      <c r="C18" s="4"/>
      <c r="D18" s="4"/>
      <c r="E18" s="5" t="s">
        <v>10</v>
      </c>
      <c r="F18" s="5" t="s">
        <v>10</v>
      </c>
      <c r="G18" s="4"/>
    </row>
    <row r="19" spans="1:7" x14ac:dyDescent="0.35">
      <c r="A19" s="3" t="s">
        <v>13</v>
      </c>
      <c r="B19" s="4"/>
      <c r="C19" s="4"/>
      <c r="D19" s="4"/>
      <c r="E19" s="5"/>
      <c r="F19" s="5"/>
      <c r="G19" s="4"/>
    </row>
    <row r="20" spans="1:7" x14ac:dyDescent="0.35">
      <c r="A20" s="3" t="s">
        <v>9</v>
      </c>
      <c r="B20" s="4"/>
      <c r="C20" s="4"/>
      <c r="D20" s="4"/>
      <c r="E20" s="5" t="s">
        <v>10</v>
      </c>
      <c r="F20" s="5" t="s">
        <v>10</v>
      </c>
      <c r="G20" s="4"/>
    </row>
    <row r="21" spans="1:7" x14ac:dyDescent="0.35">
      <c r="A21" s="3" t="s">
        <v>14</v>
      </c>
      <c r="B21" s="4"/>
      <c r="C21" s="4"/>
      <c r="D21" s="4"/>
      <c r="E21" s="5" t="s">
        <v>10</v>
      </c>
      <c r="F21" s="5" t="s">
        <v>10</v>
      </c>
      <c r="G21" s="4"/>
    </row>
    <row r="22" spans="1:7" x14ac:dyDescent="0.35">
      <c r="A22" s="1"/>
    </row>
    <row r="23" spans="1:7" x14ac:dyDescent="0.35">
      <c r="A23" s="3" t="s">
        <v>15</v>
      </c>
      <c r="B23" s="4"/>
      <c r="C23" s="4"/>
      <c r="D23" s="4"/>
      <c r="E23" s="4"/>
      <c r="F23" s="4"/>
      <c r="G23" s="4"/>
    </row>
    <row r="24" spans="1:7" x14ac:dyDescent="0.35">
      <c r="A24" s="3" t="s">
        <v>32</v>
      </c>
      <c r="B24" s="4"/>
      <c r="C24" s="4"/>
      <c r="D24" s="4"/>
      <c r="E24" s="4"/>
      <c r="F24" s="4"/>
      <c r="G24" s="4"/>
    </row>
    <row r="25" spans="1:7" x14ac:dyDescent="0.35">
      <c r="A25" s="3" t="s">
        <v>9</v>
      </c>
      <c r="B25" s="4"/>
      <c r="C25" s="4"/>
      <c r="D25" s="4"/>
      <c r="E25" s="5" t="s">
        <v>10</v>
      </c>
      <c r="F25" s="5" t="s">
        <v>10</v>
      </c>
      <c r="G25" s="4"/>
    </row>
    <row r="26" spans="1:7" x14ac:dyDescent="0.35">
      <c r="A26" s="3" t="s">
        <v>16</v>
      </c>
      <c r="B26" s="4"/>
      <c r="C26" s="4"/>
      <c r="D26" s="4"/>
      <c r="E26" s="4"/>
      <c r="F26" s="4"/>
      <c r="G26" s="4"/>
    </row>
    <row r="27" spans="1:7" x14ac:dyDescent="0.35">
      <c r="A27" s="7" t="s">
        <v>17</v>
      </c>
      <c r="B27" s="7" t="s">
        <v>18</v>
      </c>
      <c r="C27" s="6"/>
      <c r="D27" s="8">
        <v>2000000</v>
      </c>
      <c r="E27" s="9">
        <v>2000</v>
      </c>
      <c r="F27" s="10">
        <v>0.95659400414690698</v>
      </c>
      <c r="G27" s="6"/>
    </row>
    <row r="28" spans="1:7" x14ac:dyDescent="0.35">
      <c r="A28" s="3" t="s">
        <v>9</v>
      </c>
      <c r="B28" s="4"/>
      <c r="C28" s="4"/>
      <c r="D28" s="4"/>
      <c r="E28" s="11">
        <v>2000</v>
      </c>
      <c r="F28" s="12">
        <v>0.95659400414690698</v>
      </c>
      <c r="G28" s="4"/>
    </row>
    <row r="29" spans="1:7" x14ac:dyDescent="0.35">
      <c r="A29" s="3" t="s">
        <v>14</v>
      </c>
      <c r="B29" s="4"/>
      <c r="C29" s="4"/>
      <c r="D29" s="4"/>
      <c r="E29" s="11">
        <v>2000</v>
      </c>
      <c r="F29" s="12">
        <v>0.95659400414690698</v>
      </c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3" t="s">
        <v>33</v>
      </c>
      <c r="B31" s="4"/>
      <c r="C31" s="4"/>
      <c r="D31" s="4"/>
      <c r="E31" s="4"/>
      <c r="F31" s="4"/>
      <c r="G31" s="4"/>
    </row>
    <row r="32" spans="1:7" x14ac:dyDescent="0.35">
      <c r="A32" s="3" t="s">
        <v>34</v>
      </c>
      <c r="B32" s="4"/>
      <c r="C32" s="4"/>
      <c r="D32" s="4"/>
      <c r="E32" s="4"/>
      <c r="F32" s="4"/>
      <c r="G32" s="4"/>
    </row>
    <row r="33" spans="1:10" x14ac:dyDescent="0.35">
      <c r="A33" s="3" t="s">
        <v>35</v>
      </c>
      <c r="B33" s="4"/>
      <c r="C33" s="4"/>
      <c r="D33" s="4"/>
      <c r="E33" s="5" t="s">
        <v>10</v>
      </c>
      <c r="F33" s="5" t="s">
        <v>10</v>
      </c>
      <c r="G33" s="4"/>
    </row>
    <row r="34" spans="1:10" x14ac:dyDescent="0.35">
      <c r="A34" s="3" t="s">
        <v>36</v>
      </c>
      <c r="B34" s="4"/>
      <c r="C34" s="4"/>
      <c r="D34" s="4"/>
      <c r="E34" s="4"/>
      <c r="F34" s="4"/>
      <c r="G34" s="4"/>
    </row>
    <row r="35" spans="1:10" x14ac:dyDescent="0.35">
      <c r="A35" s="7" t="s">
        <v>37</v>
      </c>
      <c r="B35" s="7" t="s">
        <v>12</v>
      </c>
      <c r="C35" s="4"/>
      <c r="D35" s="8">
        <v>585.36699999999996</v>
      </c>
      <c r="E35" s="9">
        <v>70.2814233</v>
      </c>
      <c r="F35" s="10">
        <v>3.3615394065845364E-2</v>
      </c>
      <c r="G35" s="4"/>
    </row>
    <row r="36" spans="1:10" x14ac:dyDescent="0.35">
      <c r="A36" s="3" t="s">
        <v>14</v>
      </c>
      <c r="B36" s="4"/>
      <c r="C36" s="4"/>
      <c r="D36" s="4"/>
      <c r="E36" s="11">
        <v>70.2814233</v>
      </c>
      <c r="F36" s="12">
        <v>3.3615394065845364E-2</v>
      </c>
      <c r="G36" s="4"/>
    </row>
    <row r="37" spans="1:10" x14ac:dyDescent="0.35">
      <c r="A37" s="3"/>
      <c r="B37" s="4"/>
      <c r="C37" s="4"/>
      <c r="D37" s="4"/>
      <c r="E37" s="11"/>
      <c r="F37" s="12"/>
      <c r="G37" s="4"/>
    </row>
    <row r="38" spans="1:10" x14ac:dyDescent="0.35">
      <c r="A38" s="3" t="s">
        <v>38</v>
      </c>
      <c r="B38" s="4"/>
      <c r="C38" s="4"/>
      <c r="D38" s="4"/>
      <c r="E38" s="11"/>
      <c r="F38" s="12"/>
      <c r="G38" s="4"/>
    </row>
    <row r="39" spans="1:10" x14ac:dyDescent="0.35">
      <c r="A39" s="3" t="s">
        <v>9</v>
      </c>
      <c r="B39" s="4"/>
      <c r="C39" s="4"/>
      <c r="D39" s="4"/>
      <c r="E39" s="5" t="s">
        <v>10</v>
      </c>
      <c r="F39" s="5" t="s">
        <v>10</v>
      </c>
      <c r="G39" s="4"/>
    </row>
    <row r="40" spans="1:10" x14ac:dyDescent="0.35">
      <c r="A40" s="3" t="s">
        <v>14</v>
      </c>
      <c r="B40" s="4"/>
      <c r="C40" s="4"/>
      <c r="D40" s="4"/>
      <c r="E40" s="5" t="s">
        <v>10</v>
      </c>
      <c r="F40" s="5" t="s">
        <v>10</v>
      </c>
      <c r="G40" s="4"/>
    </row>
    <row r="41" spans="1:10" x14ac:dyDescent="0.35">
      <c r="A41" s="3"/>
      <c r="B41" s="4"/>
      <c r="C41" s="4"/>
      <c r="D41" s="4"/>
      <c r="E41" s="4"/>
      <c r="F41" s="4"/>
      <c r="G41" s="4"/>
    </row>
    <row r="42" spans="1:10" x14ac:dyDescent="0.35">
      <c r="A42" s="3" t="s">
        <v>19</v>
      </c>
      <c r="B42" s="4"/>
      <c r="C42" s="4"/>
      <c r="D42" s="4"/>
      <c r="E42" s="9"/>
      <c r="F42" s="4"/>
      <c r="G42" s="4"/>
    </row>
    <row r="43" spans="1:10" x14ac:dyDescent="0.35">
      <c r="A43" s="4" t="s">
        <v>39</v>
      </c>
      <c r="B43" s="4"/>
      <c r="C43" s="4"/>
      <c r="D43" s="4"/>
      <c r="E43" s="9">
        <v>18</v>
      </c>
      <c r="F43" s="10">
        <f>E43/E47</f>
        <v>8.6093460373221648E-3</v>
      </c>
      <c r="G43" s="4"/>
    </row>
    <row r="44" spans="1:10" x14ac:dyDescent="0.35">
      <c r="A44" s="7" t="s">
        <v>20</v>
      </c>
      <c r="B44" s="4"/>
      <c r="C44" s="4"/>
      <c r="D44" s="4"/>
      <c r="E44" s="9">
        <f>E45-E43</f>
        <v>2.4697117999999989</v>
      </c>
      <c r="F44" s="10">
        <f>E44/E47</f>
        <v>1.1812557499254323E-3</v>
      </c>
      <c r="G44" s="4"/>
    </row>
    <row r="45" spans="1:10" x14ac:dyDescent="0.35">
      <c r="A45" s="3" t="s">
        <v>14</v>
      </c>
      <c r="B45" s="4"/>
      <c r="C45" s="4"/>
      <c r="D45" s="4"/>
      <c r="E45" s="11">
        <v>20.469711799999999</v>
      </c>
      <c r="F45" s="12">
        <v>9.7906017872475964E-3</v>
      </c>
      <c r="G45" s="4"/>
    </row>
    <row r="46" spans="1:10" x14ac:dyDescent="0.35">
      <c r="A46" s="3"/>
      <c r="B46" s="4"/>
      <c r="C46" s="4"/>
      <c r="D46" s="4"/>
      <c r="E46" s="11"/>
      <c r="F46" s="12"/>
      <c r="G46" s="4"/>
    </row>
    <row r="47" spans="1:10" x14ac:dyDescent="0.35">
      <c r="A47" s="3" t="s">
        <v>21</v>
      </c>
      <c r="B47" s="4"/>
      <c r="C47" s="4"/>
      <c r="D47" s="16"/>
      <c r="E47" s="11">
        <v>2090.7511350999998</v>
      </c>
      <c r="F47" s="12">
        <v>1</v>
      </c>
      <c r="G47" s="4"/>
    </row>
    <row r="48" spans="1:10" x14ac:dyDescent="0.35">
      <c r="A48" s="61" t="s">
        <v>40</v>
      </c>
      <c r="B48" s="61"/>
      <c r="C48" s="61"/>
      <c r="D48" s="61"/>
      <c r="E48" s="61"/>
      <c r="F48" s="61"/>
      <c r="G48" s="61"/>
      <c r="H48" s="13"/>
      <c r="I48" s="13"/>
      <c r="J48" s="13"/>
    </row>
    <row r="49" spans="1:10" x14ac:dyDescent="0.35">
      <c r="A49" s="62" t="s">
        <v>41</v>
      </c>
      <c r="B49" s="62"/>
      <c r="C49" s="62"/>
      <c r="D49" s="62"/>
      <c r="E49" s="62"/>
      <c r="F49" s="62"/>
      <c r="G49" s="62"/>
      <c r="H49" s="62"/>
      <c r="I49" s="62"/>
      <c r="J49" s="62"/>
    </row>
    <row r="50" spans="1:10" x14ac:dyDescent="0.35">
      <c r="A50" s="63" t="s">
        <v>22</v>
      </c>
      <c r="B50" s="63"/>
      <c r="C50" s="63"/>
      <c r="D50" s="63"/>
      <c r="E50" s="63"/>
      <c r="F50" s="63"/>
      <c r="G50" s="63"/>
      <c r="H50" s="63"/>
      <c r="I50" s="63"/>
      <c r="J50" s="63"/>
    </row>
    <row r="51" spans="1:10" x14ac:dyDescent="0.35">
      <c r="A51" s="1"/>
    </row>
    <row r="52" spans="1:10" ht="16.5" customHeight="1" x14ac:dyDescent="0.35">
      <c r="A52" s="17" t="s">
        <v>42</v>
      </c>
    </row>
    <row r="53" spans="1:10" x14ac:dyDescent="0.35">
      <c r="A53" s="18" t="s">
        <v>72</v>
      </c>
    </row>
    <row r="54" spans="1:10" x14ac:dyDescent="0.35">
      <c r="A54" s="19"/>
    </row>
    <row r="55" spans="1:10" x14ac:dyDescent="0.35">
      <c r="A55" s="20" t="s">
        <v>84</v>
      </c>
    </row>
    <row r="56" spans="1:10" x14ac:dyDescent="0.35">
      <c r="A56" s="19"/>
    </row>
    <row r="57" spans="1:10" x14ac:dyDescent="0.35">
      <c r="A57" s="20" t="s">
        <v>73</v>
      </c>
    </row>
    <row r="58" spans="1:10" x14ac:dyDescent="0.35">
      <c r="A58" s="19"/>
    </row>
    <row r="59" spans="1:10" x14ac:dyDescent="0.35">
      <c r="A59" s="20" t="s">
        <v>85</v>
      </c>
    </row>
    <row r="60" spans="1:10" x14ac:dyDescent="0.35">
      <c r="A60" s="20"/>
    </row>
    <row r="61" spans="1:10" x14ac:dyDescent="0.35">
      <c r="A61" s="20" t="s">
        <v>74</v>
      </c>
    </row>
    <row r="62" spans="1:10" x14ac:dyDescent="0.35">
      <c r="A62" s="20"/>
    </row>
    <row r="63" spans="1:10" x14ac:dyDescent="0.35">
      <c r="A63" s="20" t="s">
        <v>86</v>
      </c>
    </row>
    <row r="64" spans="1:10" x14ac:dyDescent="0.35">
      <c r="A64" s="20"/>
    </row>
    <row r="65" spans="1:10" x14ac:dyDescent="0.35">
      <c r="A65" s="20" t="s">
        <v>75</v>
      </c>
    </row>
    <row r="66" spans="1:10" x14ac:dyDescent="0.35">
      <c r="A66" s="1"/>
    </row>
    <row r="67" spans="1:10" x14ac:dyDescent="0.35">
      <c r="A67" s="20" t="s">
        <v>87</v>
      </c>
    </row>
    <row r="68" spans="1:10" x14ac:dyDescent="0.35">
      <c r="A68" s="20"/>
    </row>
    <row r="69" spans="1:10" x14ac:dyDescent="0.35">
      <c r="A69" s="20" t="s">
        <v>76</v>
      </c>
      <c r="B69" s="21"/>
      <c r="C69" s="21"/>
      <c r="D69" s="21"/>
      <c r="E69" s="21"/>
    </row>
    <row r="70" spans="1:10" x14ac:dyDescent="0.35">
      <c r="A70" s="22"/>
      <c r="B70" s="21"/>
      <c r="C70" s="21"/>
      <c r="D70" s="21"/>
      <c r="E70" s="21"/>
    </row>
    <row r="71" spans="1:10" x14ac:dyDescent="0.35">
      <c r="A71" s="23" t="s">
        <v>77</v>
      </c>
      <c r="B71" s="21"/>
      <c r="C71" s="21"/>
      <c r="D71" s="21"/>
      <c r="E71" s="21"/>
    </row>
    <row r="72" spans="1:10" x14ac:dyDescent="0.35">
      <c r="A72" s="22"/>
      <c r="B72" s="21"/>
      <c r="C72" s="21"/>
      <c r="D72" s="21"/>
      <c r="E72" s="21"/>
    </row>
    <row r="73" spans="1:10" x14ac:dyDescent="0.35">
      <c r="A73" s="23" t="s">
        <v>78</v>
      </c>
      <c r="B73" s="21"/>
      <c r="C73" s="21"/>
      <c r="D73" s="21"/>
      <c r="E73" s="21"/>
    </row>
    <row r="74" spans="1:10" x14ac:dyDescent="0.35">
      <c r="A74" s="19"/>
      <c r="B74" s="24"/>
      <c r="C74" s="24"/>
      <c r="D74" s="24"/>
      <c r="E74" s="25"/>
    </row>
    <row r="75" spans="1:10" ht="14.5" customHeight="1" x14ac:dyDescent="0.35">
      <c r="A75" s="26" t="s">
        <v>88</v>
      </c>
      <c r="B75" s="27"/>
      <c r="C75" s="27"/>
      <c r="D75" s="27"/>
      <c r="E75" s="27"/>
    </row>
    <row r="76" spans="1:10" x14ac:dyDescent="0.35">
      <c r="A76" s="1"/>
    </row>
    <row r="77" spans="1:10" x14ac:dyDescent="0.35">
      <c r="A77" s="61" t="s">
        <v>23</v>
      </c>
      <c r="B77" s="61"/>
      <c r="C77" s="61"/>
      <c r="D77" s="61"/>
      <c r="E77" s="61"/>
      <c r="F77" s="61"/>
      <c r="G77" s="61"/>
      <c r="H77" s="61"/>
      <c r="I77" s="61"/>
      <c r="J77" s="61"/>
    </row>
    <row r="78" spans="1:10" x14ac:dyDescent="0.35">
      <c r="A78" s="63" t="s">
        <v>79</v>
      </c>
      <c r="B78" s="63"/>
      <c r="C78" s="63"/>
      <c r="D78" s="63"/>
      <c r="E78" s="63"/>
      <c r="F78" s="63"/>
      <c r="G78" s="63"/>
      <c r="H78" s="63"/>
      <c r="I78" s="63"/>
      <c r="J78" s="63"/>
    </row>
    <row r="79" spans="1:10" ht="37.5" x14ac:dyDescent="0.35">
      <c r="A79" s="28" t="s">
        <v>43</v>
      </c>
      <c r="B79" s="29" t="s">
        <v>44</v>
      </c>
      <c r="C79" s="30" t="s">
        <v>45</v>
      </c>
      <c r="D79" s="30" t="s">
        <v>45</v>
      </c>
      <c r="E79" s="14"/>
      <c r="F79" s="14"/>
      <c r="G79" s="14"/>
      <c r="H79" s="14"/>
      <c r="I79" s="14"/>
      <c r="J79" s="14"/>
    </row>
    <row r="80" spans="1:10" x14ac:dyDescent="0.35">
      <c r="A80" s="28"/>
      <c r="B80" s="29"/>
      <c r="C80" s="30" t="s">
        <v>46</v>
      </c>
      <c r="D80" s="30" t="s">
        <v>47</v>
      </c>
      <c r="E80" s="14"/>
      <c r="F80" s="14"/>
      <c r="G80" s="14"/>
      <c r="H80" s="14"/>
      <c r="I80" s="14"/>
      <c r="J80" s="14"/>
    </row>
    <row r="81" spans="1:11" x14ac:dyDescent="0.35">
      <c r="A81" s="28" t="s">
        <v>10</v>
      </c>
      <c r="B81" s="29" t="s">
        <v>10</v>
      </c>
      <c r="C81" s="29" t="s">
        <v>10</v>
      </c>
      <c r="D81" s="29" t="s">
        <v>10</v>
      </c>
      <c r="E81" s="14"/>
      <c r="F81" s="14"/>
      <c r="G81" s="14"/>
      <c r="H81" s="14"/>
      <c r="I81" s="14"/>
      <c r="J81" s="14"/>
    </row>
    <row r="82" spans="1:11" x14ac:dyDescent="0.35">
      <c r="A82" s="31" t="s">
        <v>83</v>
      </c>
      <c r="B82" s="32"/>
      <c r="C82" s="32"/>
      <c r="D82" s="32"/>
      <c r="E82" s="14"/>
      <c r="F82" s="14"/>
      <c r="G82" s="14"/>
      <c r="H82" s="14"/>
      <c r="I82" s="14"/>
      <c r="J82" s="14"/>
    </row>
    <row r="83" spans="1:11" x14ac:dyDescent="0.35">
      <c r="A83" s="64" t="s">
        <v>48</v>
      </c>
      <c r="B83" s="64"/>
      <c r="C83" s="64"/>
      <c r="D83" s="64"/>
      <c r="E83" s="64"/>
      <c r="F83" s="64"/>
      <c r="G83" s="64"/>
      <c r="H83" s="64"/>
      <c r="I83" s="64"/>
      <c r="J83" s="64"/>
    </row>
    <row r="84" spans="1:11" x14ac:dyDescent="0.3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</row>
    <row r="85" spans="1:11" ht="25" x14ac:dyDescent="0.35">
      <c r="A85" s="3" t="s">
        <v>24</v>
      </c>
      <c r="B85" s="2" t="s">
        <v>25</v>
      </c>
      <c r="C85" s="2" t="s">
        <v>89</v>
      </c>
    </row>
    <row r="86" spans="1:11" x14ac:dyDescent="0.35">
      <c r="A86" s="6" t="s">
        <v>49</v>
      </c>
      <c r="B86" s="15">
        <v>1077.9688000000001</v>
      </c>
      <c r="C86" s="15">
        <v>1073.6983</v>
      </c>
      <c r="E86" s="46"/>
    </row>
    <row r="87" spans="1:11" x14ac:dyDescent="0.35">
      <c r="A87" s="6" t="s">
        <v>50</v>
      </c>
      <c r="B87" s="15">
        <v>1077.0616</v>
      </c>
      <c r="C87" s="15">
        <v>1072.8477</v>
      </c>
    </row>
    <row r="88" spans="1:11" x14ac:dyDescent="0.35">
      <c r="A88" s="47"/>
      <c r="B88" s="48"/>
      <c r="C88" s="49"/>
    </row>
    <row r="89" spans="1:11" x14ac:dyDescent="0.35">
      <c r="A89" s="50" t="s">
        <v>90</v>
      </c>
      <c r="B89" s="51"/>
      <c r="C89" s="52"/>
    </row>
    <row r="90" spans="1:11" x14ac:dyDescent="0.35">
      <c r="A90" s="50" t="s">
        <v>91</v>
      </c>
      <c r="B90" s="51"/>
      <c r="C90" s="52"/>
    </row>
    <row r="91" spans="1:11" x14ac:dyDescent="0.35">
      <c r="A91" s="50" t="s">
        <v>26</v>
      </c>
      <c r="B91" s="51"/>
      <c r="C91" s="52"/>
    </row>
    <row r="92" spans="1:11" x14ac:dyDescent="0.35">
      <c r="A92" s="50" t="s">
        <v>80</v>
      </c>
      <c r="B92" s="51"/>
      <c r="C92" s="52"/>
    </row>
    <row r="93" spans="1:11" x14ac:dyDescent="0.35">
      <c r="A93" s="1"/>
    </row>
    <row r="94" spans="1:11" x14ac:dyDescent="0.35">
      <c r="A94" s="34" t="s">
        <v>51</v>
      </c>
      <c r="B94" s="35"/>
      <c r="C94" s="35"/>
    </row>
    <row r="95" spans="1:11" x14ac:dyDescent="0.35">
      <c r="A95" s="50" t="s">
        <v>92</v>
      </c>
      <c r="B95" s="51"/>
      <c r="C95" s="52"/>
    </row>
    <row r="96" spans="1:11" x14ac:dyDescent="0.35">
      <c r="A96" s="50" t="s">
        <v>93</v>
      </c>
      <c r="B96" s="51"/>
      <c r="C96" s="52"/>
    </row>
    <row r="97" spans="1:4" x14ac:dyDescent="0.35">
      <c r="A97" s="50" t="s">
        <v>52</v>
      </c>
      <c r="B97" s="51"/>
      <c r="C97" s="52"/>
    </row>
    <row r="98" spans="1:4" x14ac:dyDescent="0.35">
      <c r="A98" s="50" t="s">
        <v>53</v>
      </c>
      <c r="B98" s="51"/>
      <c r="C98" s="52"/>
    </row>
    <row r="99" spans="1:4" x14ac:dyDescent="0.35">
      <c r="A99" s="50" t="s">
        <v>54</v>
      </c>
      <c r="B99" s="51"/>
      <c r="C99" s="52"/>
    </row>
    <row r="100" spans="1:4" x14ac:dyDescent="0.35">
      <c r="A100" s="50" t="s">
        <v>81</v>
      </c>
      <c r="B100" s="51"/>
      <c r="C100" s="52"/>
    </row>
    <row r="101" spans="1:4" x14ac:dyDescent="0.35">
      <c r="A101" s="50" t="s">
        <v>82</v>
      </c>
      <c r="B101" s="51"/>
      <c r="C101" s="52"/>
      <c r="D101" s="21"/>
    </row>
    <row r="102" spans="1:4" x14ac:dyDescent="0.35">
      <c r="A102" s="68" t="s">
        <v>96</v>
      </c>
      <c r="B102" s="68"/>
      <c r="C102" s="68"/>
      <c r="D102" s="21"/>
    </row>
    <row r="103" spans="1:4" x14ac:dyDescent="0.35">
      <c r="A103" s="69" t="s">
        <v>97</v>
      </c>
      <c r="B103" s="70"/>
      <c r="C103" s="71"/>
      <c r="D103" s="21"/>
    </row>
    <row r="104" spans="1:4" x14ac:dyDescent="0.35">
      <c r="A104" s="36"/>
      <c r="B104" s="37"/>
      <c r="C104" s="37"/>
      <c r="D104" s="38"/>
    </row>
    <row r="105" spans="1:4" x14ac:dyDescent="0.35">
      <c r="A105" s="33" t="s">
        <v>55</v>
      </c>
      <c r="B105" s="33"/>
      <c r="C105" s="33"/>
      <c r="D105" s="33"/>
    </row>
    <row r="106" spans="1:4" x14ac:dyDescent="0.35">
      <c r="A106" s="65" t="s">
        <v>56</v>
      </c>
      <c r="B106" s="65"/>
      <c r="C106" s="65"/>
      <c r="D106" s="65"/>
    </row>
    <row r="107" spans="1:4" x14ac:dyDescent="0.35">
      <c r="A107" s="65" t="s">
        <v>57</v>
      </c>
      <c r="B107" s="65"/>
      <c r="C107" s="65"/>
      <c r="D107" s="65"/>
    </row>
    <row r="124" spans="1:4" x14ac:dyDescent="0.35">
      <c r="A124" s="66" t="s">
        <v>98</v>
      </c>
      <c r="B124" s="67"/>
      <c r="C124" t="s">
        <v>58</v>
      </c>
    </row>
    <row r="126" spans="1:4" x14ac:dyDescent="0.35">
      <c r="A126" s="65" t="s">
        <v>59</v>
      </c>
      <c r="B126" s="65"/>
      <c r="C126" s="65"/>
      <c r="D126" s="65"/>
    </row>
    <row r="128" spans="1:4" ht="15" thickBot="1" x14ac:dyDescent="0.4">
      <c r="A128" s="39" t="s">
        <v>60</v>
      </c>
    </row>
    <row r="129" spans="1:4" ht="15" thickBot="1" x14ac:dyDescent="0.4">
      <c r="A129" s="72" t="s">
        <v>61</v>
      </c>
      <c r="B129" s="73"/>
      <c r="C129" s="73"/>
      <c r="D129" s="74"/>
    </row>
    <row r="130" spans="1:4" ht="15" thickBot="1" x14ac:dyDescent="0.4">
      <c r="A130" s="40" t="s">
        <v>62</v>
      </c>
      <c r="B130" s="75" t="s">
        <v>63</v>
      </c>
      <c r="C130" s="75" t="s">
        <v>64</v>
      </c>
      <c r="D130" s="75" t="s">
        <v>65</v>
      </c>
    </row>
    <row r="131" spans="1:4" ht="15" thickBot="1" x14ac:dyDescent="0.4">
      <c r="A131" s="40" t="s">
        <v>66</v>
      </c>
      <c r="B131" s="76"/>
      <c r="C131" s="76"/>
      <c r="D131" s="76"/>
    </row>
    <row r="132" spans="1:4" ht="15" thickBot="1" x14ac:dyDescent="0.4">
      <c r="A132" s="41" t="s">
        <v>67</v>
      </c>
      <c r="B132" s="42"/>
      <c r="C132" s="43" t="s">
        <v>68</v>
      </c>
      <c r="D132" s="42"/>
    </row>
    <row r="133" spans="1:4" ht="15" thickBot="1" x14ac:dyDescent="0.4">
      <c r="A133" s="41" t="s">
        <v>69</v>
      </c>
      <c r="B133" s="42"/>
      <c r="C133" s="42"/>
      <c r="D133" s="42"/>
    </row>
    <row r="134" spans="1:4" ht="16.5" thickBot="1" x14ac:dyDescent="0.4">
      <c r="A134" s="41" t="s">
        <v>70</v>
      </c>
      <c r="B134" s="44"/>
      <c r="C134" s="42"/>
      <c r="D134" s="42"/>
    </row>
    <row r="135" spans="1:4" x14ac:dyDescent="0.35">
      <c r="A135" s="77" t="s">
        <v>71</v>
      </c>
      <c r="B135" s="77"/>
      <c r="C135" s="77"/>
      <c r="D135" s="77"/>
    </row>
  </sheetData>
  <mergeCells count="33">
    <mergeCell ref="A129:D129"/>
    <mergeCell ref="B130:B131"/>
    <mergeCell ref="C130:C131"/>
    <mergeCell ref="D130:D131"/>
    <mergeCell ref="A135:D135"/>
    <mergeCell ref="A101:C101"/>
    <mergeCell ref="A106:D106"/>
    <mergeCell ref="A107:D107"/>
    <mergeCell ref="A124:B124"/>
    <mergeCell ref="A126:D126"/>
    <mergeCell ref="A102:C102"/>
    <mergeCell ref="A103:C103"/>
    <mergeCell ref="A98:C98"/>
    <mergeCell ref="A99:C99"/>
    <mergeCell ref="A100:C100"/>
    <mergeCell ref="A2:G3"/>
    <mergeCell ref="A4:G4"/>
    <mergeCell ref="A48:G48"/>
    <mergeCell ref="A49:J49"/>
    <mergeCell ref="A50:J50"/>
    <mergeCell ref="A77:J77"/>
    <mergeCell ref="A78:J78"/>
    <mergeCell ref="A83:J83"/>
    <mergeCell ref="A84:K84"/>
    <mergeCell ref="A90:C90"/>
    <mergeCell ref="A95:C95"/>
    <mergeCell ref="A96:C96"/>
    <mergeCell ref="A97:C97"/>
    <mergeCell ref="A88:C88"/>
    <mergeCell ref="A89:C89"/>
    <mergeCell ref="A91:C91"/>
    <mergeCell ref="A92:C92"/>
    <mergeCell ref="A1:G1"/>
  </mergeCells>
  <hyperlinks>
    <hyperlink ref="A103" r:id="rId1" display="Click here" xr:uid="{DE2CC804-5382-46FF-9710-262954CD837E}"/>
    <hyperlink ref="A103:C103" r:id="rId2" display="10) For disclosure of category wise portfolio overlap levels in Unifi Mutual Fund Schemes, please refer to the following link : Click here" xr:uid="{8F5EDD84-6755-4424-9D8C-CBD8EE8FBC7E}"/>
    <hyperlink ref="A102" r:id="rId3" display="https://unifimf.com/wp-content/uploads/fund-sheets/Scheme_Performance_DAAF_March.xlsx" xr:uid="{E74761A6-2FB2-445E-A57C-68A9A9F7DFD3}"/>
    <hyperlink ref="A102:C102" r:id="rId4" display="8) For more details on Scheme Performance, please refer to the following link : Click here" xr:uid="{17C2D880-FE27-418C-85A8-941FDAA8D4E9}"/>
  </hyperlinks>
  <pageMargins left="0.7" right="0.7" top="0.75" bottom="0.75" header="0.3" footer="0.3"/>
  <headerFooter>
    <oddHeader>&amp;C&amp;"Aptos"&amp;11&amp;K0000FF Classification - Internal&amp;1#_x000D_</oddHeader>
    <oddFooter>&amp;C_x000D_&amp;1#&amp;"Aptos"&amp;11&amp;K0000FF Classification - Internal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Liquid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2026-10-01T09:03:10Z</dcterms:created>
  <dcterms:modified xsi:type="dcterms:W3CDTF">2026-10-08T08:30:32Z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2026-10-01T09:05:09Z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3fc1b118-2427-4f59-ab34-a1c0b8b4c1aa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</Properties>
</file>