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O:\2. Operations FY 2026-27\PORTFOLIOS\MONTHLY\Sep 2026\Uploads\"/>
    </mc:Choice>
  </mc:AlternateContent>
  <xr:revisionPtr revIDLastSave="0" documentId="13_ncr:1_{F0B73D21-D1E9-4AB7-9E54-1A91B7C54BA3}" xr6:coauthVersionLast="47" xr6:coauthVersionMax="47" xr10:uidLastSave="{00000000-0000-0000-0000-000000000000}"/>
  <bookViews>
    <workbookView xWindow="-110" yWindow="-110" windowWidth="19420" windowHeight="11500" xr2:uid="{50F17807-83C1-4C54-8247-155583A23F28}"/>
  </bookViews>
  <sheets>
    <sheet name="WCAR" sheetId="1" r:id="rId1"/>
  </sheets>
  <externalReferences>
    <externalReference r:id="rId2"/>
  </externalReferences>
  <definedNames>
    <definedName name="XDO_?ASSET_TYPE_MM?">WCAR!$B$46</definedName>
    <definedName name="XDO_?AUM?">WCAR!$E$85:$E$92</definedName>
    <definedName name="XDO_?DATECH?">'[1]DETAILED HOLDING STATEMENT'!#REF!</definedName>
    <definedName name="XDO_?DATEMISS?">'[1]DETAILED HOLDING STATEMENT'!#REF!</definedName>
    <definedName name="XDO_?DLAST_COUP?">'[1]DETAILED HOLDING STATEMENT'!#REF!</definedName>
    <definedName name="XDO_?DNEXT_COUP?">'[1]DETAILED HOLDING STATEMENT'!#REF!</definedName>
    <definedName name="XDO_?FUND_OBJECTIVE?">WCAR!$A$2</definedName>
    <definedName name="XDO_?HEADER?">WCAR!$A$3</definedName>
    <definedName name="XDO_?ISIN_ALT?">WCAR!$A$79</definedName>
    <definedName name="XDO_?ISIN_DEBT_A?">WCAR!$A$28</definedName>
    <definedName name="XDO_?ISIN_DEBT_B?">WCAR!$A$31</definedName>
    <definedName name="XDO_?ISIN_DEBT_C?">WCAR!$A$34</definedName>
    <definedName name="XDO_?ISIN_DEBT_D?">WCAR!$A$37</definedName>
    <definedName name="XDO_?ISIN_DRV?">WCAR!$A$22</definedName>
    <definedName name="XDO_?ISIN_EQU?">WCAR!$A$7:$A$49</definedName>
    <definedName name="XDO_?ISIN_EQU_NON?">WCAR!$A$10</definedName>
    <definedName name="XDO_?ISIN_ETF?">WCAR!$A$71</definedName>
    <definedName name="XDO_?ISIN_FD?">WCAR!$A$75</definedName>
    <definedName name="XDO_?ISIN_IRS?">WCAR!$A$62</definedName>
    <definedName name="XDO_?ISIN_IVT?">WCAR!$A$16</definedName>
    <definedName name="XDO_?ISIN_MFU?">WCAR!$A$67:$A$86</definedName>
    <definedName name="XDO_?ISIN_MM?">WCAR!$A$47</definedName>
    <definedName name="XDO_?ISIN_OTHERS?">WCAR!$A$42</definedName>
    <definedName name="XDO_?ISIN_PRF?">WCAR!$A$58</definedName>
    <definedName name="XDO_?ISIN_RET?">WCAR!$A$13</definedName>
    <definedName name="XDO_?ISIN_RR?">WCAR!$A$53</definedName>
    <definedName name="XDO_?ISIN_TREP?">WCAR!$A$50:$A$75</definedName>
    <definedName name="XDO_?ISSUER_NAME_ALT?">WCAR!$B$79</definedName>
    <definedName name="XDO_?ISSUER_NAME_DEBT_A?">WCAR!$B$28</definedName>
    <definedName name="XDO_?ISSUER_NAME_DEBT_B?">WCAR!$B$31</definedName>
    <definedName name="XDO_?ISSUER_NAME_DEBT_C?">WCAR!$B$34</definedName>
    <definedName name="XDO_?ISSUER_NAME_DEBT_D?">WCAR!$B$37</definedName>
    <definedName name="XDO_?ISSUER_NAME_DRV?">WCAR!$B$22</definedName>
    <definedName name="XDO_?ISSUER_NAME_EQU?">WCAR!$B$7:$B$49</definedName>
    <definedName name="XDO_?ISSUER_NAME_EQU_NON?">WCAR!$B$10</definedName>
    <definedName name="XDO_?ISSUER_NAME_ETF?">WCAR!$B$71</definedName>
    <definedName name="XDO_?ISSUER_NAME_FD?">WCAR!$B$75</definedName>
    <definedName name="XDO_?ISSUER_NAME_IRS?">WCAR!$B$62</definedName>
    <definedName name="XDO_?ISSUER_NAME_IVT?">WCAR!$B$16</definedName>
    <definedName name="XDO_?ISSUER_NAME_MFU?">WCAR!$B$67:$B$86</definedName>
    <definedName name="XDO_?ISSUER_NAME_MM?">WCAR!$B$47</definedName>
    <definedName name="XDO_?ISSUER_NAME_OTHERS?">WCAR!$B$42</definedName>
    <definedName name="XDO_?ISSUER_NAME_PRF?">WCAR!$B$58</definedName>
    <definedName name="XDO_?ISSUER_NAME_RET?">WCAR!$B$13</definedName>
    <definedName name="XDO_?ISSUER_NAME_RR?">WCAR!$B$53</definedName>
    <definedName name="XDO_?ISSUER_NAME_TREP?">WCAR!$B$50:$B$75</definedName>
    <definedName name="XDO_?MARKET_VALUE_ALT?">WCAR!$E$79</definedName>
    <definedName name="XDO_?MARKET_VALUE_DEBT_A?">WCAR!$E$28</definedName>
    <definedName name="XDO_?MARKET_VALUE_DEBT_B?">WCAR!$E$31</definedName>
    <definedName name="XDO_?MARKET_VALUE_DEBT_C?">WCAR!$E$34</definedName>
    <definedName name="XDO_?MARKET_VALUE_DEBT_D?">WCAR!$E$37</definedName>
    <definedName name="XDO_?MARKET_VALUE_DRV?">WCAR!$E$22</definedName>
    <definedName name="XDO_?MARKET_VALUE_EQU?">WCAR!$E$7:$E$49</definedName>
    <definedName name="XDO_?MARKET_VALUE_EQU_NON?">WCAR!$E$10</definedName>
    <definedName name="XDO_?MARKET_VALUE_ETF?">WCAR!$E$71</definedName>
    <definedName name="XDO_?MARKET_VALUE_FD?">WCAR!$E$75</definedName>
    <definedName name="XDO_?MARKET_VALUE_IRS?">WCAR!$E$62</definedName>
    <definedName name="XDO_?MARKET_VALUE_IVT?">WCAR!$E$16</definedName>
    <definedName name="XDO_?MARKET_VALUE_MFU?">WCAR!$E$67:$E$86</definedName>
    <definedName name="XDO_?MARKET_VALUE_MM?">WCAR!$E$47</definedName>
    <definedName name="XDO_?MARKET_VALUE_OTHERS?">WCAR!$E$42</definedName>
    <definedName name="XDO_?MARKET_VALUE_PRF?">WCAR!$E$58</definedName>
    <definedName name="XDO_?MARKET_VALUE_RET?">WCAR!$E$13</definedName>
    <definedName name="XDO_?MARKET_VALUE_RR?">WCAR!$E$53</definedName>
    <definedName name="XDO_?MARKET_VALUE_TREP?">WCAR!$E$50:$E$75</definedName>
    <definedName name="XDO_?MATURITY_DATE?">'[1]DETAILED HOLDING STATEMENT'!#REF!</definedName>
    <definedName name="XDO_?MATURITY_DATE_DEBT_A?">WCAR!$G$28</definedName>
    <definedName name="XDO_?MATURITY_DATE_DEBT_B?">WCAR!$G$31</definedName>
    <definedName name="XDO_?MATURITY_DATE_DEBT_C?">WCAR!$G$34</definedName>
    <definedName name="XDO_?MATURITY_DATE_DEBT_D?">WCAR!$G$37</definedName>
    <definedName name="XDO_?MATURITY_DATE_DRV?">WCAR!$G$22</definedName>
    <definedName name="XDO_?MATURITY_DATE_EQU?">WCAR!$G$7:$G$49</definedName>
    <definedName name="XDO_?MATURITY_DATE_EQU_NON?">WCAR!$G$10</definedName>
    <definedName name="XDO_?MATURITY_DATE_ETF?">WCAR!$G$71</definedName>
    <definedName name="XDO_?MATURITY_DATE_FD?">WCAR!$G$75</definedName>
    <definedName name="XDO_?MATURITY_DATE_IVT?">WCAR!$G$16</definedName>
    <definedName name="XDO_?MATURITY_DATE_MFU?">WCAR!$G$67:$G$86</definedName>
    <definedName name="XDO_?MATURITY_DATE_MM?">WCAR!$G$47</definedName>
    <definedName name="XDO_?MATURITY_DATE_RET?">WCAR!$G$13</definedName>
    <definedName name="XDO_?MATURITY_DATE_RR?">WCAR!$G$53</definedName>
    <definedName name="XDO_?MATURITY_DATE_TREP?">WCAR!$G$50:$G$75</definedName>
    <definedName name="XDO_?MD_HIDE_EQU_1?">WCAR!#REF!</definedName>
    <definedName name="XDO_?MD_HIDE_EQU_1?1?">[1]WCBA!#REF!</definedName>
    <definedName name="XDO_?MD_HIDE_EQU_1?10?">[1]WCML!#REF!</definedName>
    <definedName name="XDO_?MD_HIDE_EQU_1?11?">[1]WCSC!#REF!</definedName>
    <definedName name="XDO_?MD_HIDE_EQU_1?2?">[1]WCET!#REF!</definedName>
    <definedName name="XDO_?MD_HIDE_EQU_1?3?">[1]WCFL!#REF!</definedName>
    <definedName name="XDO_?MD_HIDE_EQU_1?4?">[1]WCGE!#REF!</definedName>
    <definedName name="XDO_?MD_HIDE_EQU_1?5?">[1]WCGF!#REF!</definedName>
    <definedName name="XDO_?MD_HIDE_EQU_1?6?">[1]WCLM!#REF!</definedName>
    <definedName name="XDO_?MD_HIDE_EQU_1?7?">'[1]WCLQ-DNU'!#REF!</definedName>
    <definedName name="XDO_?MD_HIDE_EQU_1?8?">[1]WCMA!#REF!</definedName>
    <definedName name="XDO_?MD_HIDE_EQU_1?9?">[1]WCMC!#REF!</definedName>
    <definedName name="XDO_?MD_HIDE_EQU_2?">WCAR!#REF!</definedName>
    <definedName name="XDO_?MD_HIDE_EQU_2?1?">[1]WCBA!#REF!</definedName>
    <definedName name="XDO_?MD_HIDE_EQU_2?10?">'[1]WCLQ-DNU'!#REF!</definedName>
    <definedName name="XDO_?MD_HIDE_EQU_2?11?">[1]WCMA!#REF!</definedName>
    <definedName name="XDO_?MD_HIDE_EQU_2?12?">[1]WCMC!#REF!</definedName>
    <definedName name="XDO_?MD_HIDE_EQU_2?13?">[1]WCML!#REF!</definedName>
    <definedName name="XDO_?MD_HIDE_EQU_2?14?">[1]WCSC!#REF!</definedName>
    <definedName name="XDO_?MD_HIDE_EQU_2?2?">[1]WCET!#REF!</definedName>
    <definedName name="XDO_?MD_HIDE_EQU_2?3?">[1]WCFL!#REF!</definedName>
    <definedName name="XDO_?MD_HIDE_EQU_2?4?">[1]WCGE!#REF!</definedName>
    <definedName name="XDO_?MD_HIDE_EQU_2?5?">[1]WCGE!#REF!</definedName>
    <definedName name="XDO_?MD_HIDE_EQU_2?6?">[1]WCGF!#REF!</definedName>
    <definedName name="XDO_?MD_HIDE_EQU_2?7?">[1]WCGF!#REF!</definedName>
    <definedName name="XDO_?MD_HIDE_EQU_2?8?">[1]WCLM!#REF!</definedName>
    <definedName name="XDO_?MD_HIDE_EQU_2?9?">'[1]WCLQ-DNU'!#REF!</definedName>
    <definedName name="XDO_?MD_HIDE_EQU_3?">WCAR!#REF!</definedName>
    <definedName name="XDO_?MD_HIDE_EQU_3?1?">[1]WCBA!#REF!</definedName>
    <definedName name="XDO_?MD_HIDE_EQU_3?10?">[1]WCML!#REF!</definedName>
    <definedName name="XDO_?MD_HIDE_EQU_3?11?">[1]WCSC!#REF!</definedName>
    <definedName name="XDO_?MD_HIDE_EQU_3?2?">[1]WCET!#REF!</definedName>
    <definedName name="XDO_?MD_HIDE_EQU_3?3?">[1]WCFL!#REF!</definedName>
    <definedName name="XDO_?MD_HIDE_EQU_3?4?">[1]WCGE!#REF!</definedName>
    <definedName name="XDO_?MD_HIDE_EQU_3?5?">[1]WCGF!#REF!</definedName>
    <definedName name="XDO_?MD_HIDE_EQU_3?6?">[1]WCLM!#REF!</definedName>
    <definedName name="XDO_?MD_HIDE_EQU_3?7?">'[1]WCLQ-DNU'!#REF!</definedName>
    <definedName name="XDO_?MD_HIDE_EQU_3?8?">[1]WCMA!#REF!</definedName>
    <definedName name="XDO_?MD_HIDE_EQU_3?9?">[1]WCMC!#REF!</definedName>
    <definedName name="XDO_?MD_HIDE_EQU_4?">WCAR!#REF!</definedName>
    <definedName name="XDO_?MD_HIDE_EQU_4?1?">[1]WCBA!#REF!</definedName>
    <definedName name="XDO_?MD_HIDE_EQU_4?10?">[1]WCLM!#REF!</definedName>
    <definedName name="XDO_?MD_HIDE_EQU_4?11?">[1]WCLM!#REF!</definedName>
    <definedName name="XDO_?MD_HIDE_EQU_4?12?">'[1]WCLQ-DNU'!#REF!</definedName>
    <definedName name="XDO_?MD_HIDE_EQU_4?13?">'[1]WCLQ-DNU'!#REF!</definedName>
    <definedName name="XDO_?MD_HIDE_EQU_4?14?">[1]WCMA!#REF!</definedName>
    <definedName name="XDO_?MD_HIDE_EQU_4?15?">[1]WCMC!#REF!</definedName>
    <definedName name="XDO_?MD_HIDE_EQU_4?16?">[1]WCMC!#REF!</definedName>
    <definedName name="XDO_?MD_HIDE_EQU_4?17?">[1]WCML!#REF!</definedName>
    <definedName name="XDO_?MD_HIDE_EQU_4?18?">[1]WCML!#REF!</definedName>
    <definedName name="XDO_?MD_HIDE_EQU_4?19?">[1]WCSC!#REF!</definedName>
    <definedName name="XDO_?MD_HIDE_EQU_4?2?">[1]WCBA!#REF!</definedName>
    <definedName name="XDO_?MD_HIDE_EQU_4?3?">[1]WCET!#REF!</definedName>
    <definedName name="XDO_?MD_HIDE_EQU_4?4?">[1]WCET!#REF!</definedName>
    <definedName name="XDO_?MD_HIDE_EQU_4?5?">[1]WCFL!#REF!</definedName>
    <definedName name="XDO_?MD_HIDE_EQU_4?6?">[1]WCGE!#REF!</definedName>
    <definedName name="XDO_?MD_HIDE_EQU_4?7?">[1]WCGE!#REF!</definedName>
    <definedName name="XDO_?MD_HIDE_EQU_4?8?">[1]WCGF!#REF!</definedName>
    <definedName name="XDO_?MD_HIDE_EQU_4?9?">[1]WCGF!#REF!</definedName>
    <definedName name="XDO_?MD_HIDE_EQU_5?">WCAR!#REF!</definedName>
    <definedName name="XDO_?MD_HIDE_EQU_5?1?">[1]WCBA!#REF!</definedName>
    <definedName name="XDO_?MD_HIDE_EQU_5?10?">[1]WCML!#REF!</definedName>
    <definedName name="XDO_?MD_HIDE_EQU_5?11?">[1]WCSC!#REF!</definedName>
    <definedName name="XDO_?MD_HIDE_EQU_5?2?">[1]WCET!#REF!</definedName>
    <definedName name="XDO_?MD_HIDE_EQU_5?3?">[1]WCFL!#REF!</definedName>
    <definedName name="XDO_?MD_HIDE_EQU_5?4?">[1]WCGE!#REF!</definedName>
    <definedName name="XDO_?MD_HIDE_EQU_5?5?">[1]WCGF!#REF!</definedName>
    <definedName name="XDO_?MD_HIDE_EQU_5?6?">[1]WCLM!#REF!</definedName>
    <definedName name="XDO_?MD_HIDE_EQU_5?7?">'[1]WCLQ-DNU'!#REF!</definedName>
    <definedName name="XDO_?MD_HIDE_EQU_5?8?">[1]WCMA!#REF!</definedName>
    <definedName name="XDO_?MD_HIDE_EQU_5?9?">[1]WCMC!#REF!</definedName>
    <definedName name="XDO_?MD_HIDE_EQU_6?">WCAR!#REF!</definedName>
    <definedName name="XDO_?NAV_GROUP?">WCAR!$A$1</definedName>
    <definedName name="XDO_?P_AS_ON_DATE?">'[1]DETAILED HOLDING STATEMENT'!#REF!</definedName>
    <definedName name="XDO_?PER_NET_ASST_ALT?">WCAR!$F$79</definedName>
    <definedName name="XDO_?PER_NET_ASST_DEBT_A?">WCAR!$F$28</definedName>
    <definedName name="XDO_?PER_NET_ASST_DEBT_B?">WCAR!$F$31</definedName>
    <definedName name="XDO_?PER_NET_ASST_DEBT_C?">WCAR!$F$34</definedName>
    <definedName name="XDO_?PER_NET_ASST_DEBT_D?">WCAR!$F$37</definedName>
    <definedName name="XDO_?PER_NET_ASST_DRV?">WCAR!$F$22</definedName>
    <definedName name="XDO_?PER_NET_ASST_EQU?">WCAR!$F$7:$F$49</definedName>
    <definedName name="XDO_?PER_NET_ASST_EQU_NON?">WCAR!$F$10</definedName>
    <definedName name="XDO_?PER_NET_ASST_ETF?">WCAR!$F$71</definedName>
    <definedName name="XDO_?PER_NET_ASST_FD?">WCAR!$F$75</definedName>
    <definedName name="XDO_?PER_NET_ASST_IRS?">WCAR!$F$62</definedName>
    <definedName name="XDO_?PER_NET_ASST_IVT?">WCAR!$F$16</definedName>
    <definedName name="XDO_?PER_NET_ASST_MFU?">WCAR!$F$67:$F$86</definedName>
    <definedName name="XDO_?PER_NET_ASST_MM?">WCAR!$F$47</definedName>
    <definedName name="XDO_?PER_NET_ASST_OTHERS?">WCAR!$F$42</definedName>
    <definedName name="XDO_?PER_NET_ASST_PRF?">WCAR!$F$58</definedName>
    <definedName name="XDO_?PER_NET_ASST_RET?">WCAR!$F$13</definedName>
    <definedName name="XDO_?PER_NET_ASST_RR?">WCAR!$F$53</definedName>
    <definedName name="XDO_?PER_NET_ASST_TREP?">WCAR!$F$50:$F$75</definedName>
    <definedName name="XDO_?QUANTITY_ALT?">WCAR!$D$79</definedName>
    <definedName name="XDO_?QUANTITY_DEBT_A?">WCAR!$D$28</definedName>
    <definedName name="XDO_?QUANTITY_DEBT_B?">WCAR!$D$31</definedName>
    <definedName name="XDO_?QUANTITY_DEBT_C?">WCAR!$D$34</definedName>
    <definedName name="XDO_?QUANTITY_DEBT_D?">WCAR!$D$37</definedName>
    <definedName name="XDO_?QUANTITY_DRV?">WCAR!$D$22</definedName>
    <definedName name="XDO_?QUANTITY_EQU?">WCAR!$D$7:$D$49</definedName>
    <definedName name="XDO_?QUANTITY_EQU_NON?">WCAR!$D$10</definedName>
    <definedName name="XDO_?QUANTITY_ETF?">WCAR!$D$71</definedName>
    <definedName name="XDO_?QUANTITY_FD?">WCAR!$D$75</definedName>
    <definedName name="XDO_?QUANTITY_IVT?">WCAR!$D$16</definedName>
    <definedName name="XDO_?QUANTITY_MFU?">WCAR!$D$67:$D$86</definedName>
    <definedName name="XDO_?QUANTITY_MM?">WCAR!$D$47</definedName>
    <definedName name="XDO_?QUANTITY_OTHERS?">WCAR!$D$42</definedName>
    <definedName name="XDO_?QUANTITY_PRF?">WCAR!$D$58</definedName>
    <definedName name="XDO_?QUANTITY_RET?">WCAR!$D$13</definedName>
    <definedName name="XDO_?QUANTITY_RR?">WCAR!$D$53</definedName>
    <definedName name="XDO_?QUANTITY_TREP?">WCAR!$D$50:$D$75</definedName>
    <definedName name="XDO_?RATING_INDUSTRY_ALT?">WCAR!$C$79</definedName>
    <definedName name="XDO_?RATING_INDUSTRY_DEBT_A?">WCAR!$C$28</definedName>
    <definedName name="XDO_?RATING_INDUSTRY_DEBT_B?">WCAR!$C$31</definedName>
    <definedName name="XDO_?RATING_INDUSTRY_DEBT_C?">WCAR!$C$34</definedName>
    <definedName name="XDO_?RATING_INDUSTRY_DEBT_D?">WCAR!$C$37</definedName>
    <definedName name="XDO_?RATING_INDUSTRY_DRV?">WCAR!$C$22</definedName>
    <definedName name="XDO_?RATING_INDUSTRY_EQU?">WCAR!$C$7:$C$49</definedName>
    <definedName name="XDO_?RATING_INDUSTRY_EQU_NON?">WCAR!$C$10</definedName>
    <definedName name="XDO_?RATING_INDUSTRY_ETF?">WCAR!$C$71</definedName>
    <definedName name="XDO_?RATING_INDUSTRY_FD?">WCAR!$C$75</definedName>
    <definedName name="XDO_?RATING_INDUSTRY_IRS?">WCAR!$C$62</definedName>
    <definedName name="XDO_?RATING_INDUSTRY_IVT?">WCAR!$C$16</definedName>
    <definedName name="XDO_?RATING_INDUSTRY_MFU?">WCAR!$C$67:$C$86</definedName>
    <definedName name="XDO_?RATING_INDUSTRY_MM?">WCAR!$C$47</definedName>
    <definedName name="XDO_?RATING_INDUSTRY_OTHERS?">WCAR!$C$42</definedName>
    <definedName name="XDO_?RATING_INDUSTRY_PRF?">WCAR!$C$58</definedName>
    <definedName name="XDO_?RATING_INDUSTRY_RET?">WCAR!$C$13</definedName>
    <definedName name="XDO_?RATING_INDUSTRY_RR?">WCAR!$C$53</definedName>
    <definedName name="XDO_?RATING_INDUSTRY_TREP?">WCAR!$C$50:$C$75</definedName>
    <definedName name="XDO_?ST_HIDE_EQU?">WCAR!#REF!</definedName>
    <definedName name="XDO_?ST_HIDE_EQU?1?">[1]WCBA!#REF!</definedName>
    <definedName name="XDO_?ST_HIDE_EQU?10?">[1]WCML!#REF!</definedName>
    <definedName name="XDO_?ST_HIDE_EQU?11?">[1]WCSC!#REF!</definedName>
    <definedName name="XDO_?ST_HIDE_EQU?2?">[1]WCET!#REF!</definedName>
    <definedName name="XDO_?ST_HIDE_EQU?3?">[1]WCFL!#REF!</definedName>
    <definedName name="XDO_?ST_HIDE_EQU?4?">[1]WCGE!#REF!</definedName>
    <definedName name="XDO_?ST_HIDE_EQU?5?">[1]WCGF!#REF!</definedName>
    <definedName name="XDO_?ST_HIDE_EQU?6?">[1]WCLM!#REF!</definedName>
    <definedName name="XDO_?ST_HIDE_EQU?7?">'[1]WCLQ-DNU'!#REF!</definedName>
    <definedName name="XDO_?ST_HIDE_EQU?8?">[1]WCMA!#REF!</definedName>
    <definedName name="XDO_?ST_HIDE_EQU?9?">[1]WCMC!#REF!</definedName>
    <definedName name="XDO_?TITLE_HASH?">WCAR!#REF!</definedName>
    <definedName name="XDO_?TITLE_HASH?10?">[1]WCML!#REF!</definedName>
    <definedName name="XDO_?TITLE_HASH?2?">[1]WCET!#REF!</definedName>
    <definedName name="XDO_?TITLE_HASH?4?">[1]WCGE!#REF!</definedName>
    <definedName name="XDO_?TITLE_HASH?5?">[1]WCGF!#REF!</definedName>
    <definedName name="XDO_?TITLE_HASH?6?">[1]WCLM!#REF!</definedName>
    <definedName name="XDO_?TITLE_HASH?9?">[1]WCMC!#REF!</definedName>
    <definedName name="XDO_?TITLE_STAR?">WCAR!#REF!</definedName>
    <definedName name="XDO_?TITLE_STAR?10?">[1]WCML!#REF!</definedName>
    <definedName name="XDO_?TITLE_STAR?2?">[1]WCET!#REF!</definedName>
    <definedName name="XDO_?TITLE_STAR?4?">[1]WCGE!#REF!</definedName>
    <definedName name="XDO_?TITLE_STAR?5?">[1]WCGF!#REF!</definedName>
    <definedName name="XDO_?TITLE_STAR?6?">[1]WCLM!#REF!</definedName>
    <definedName name="XDO_?TITLE_STAR?9?">[1]WCMC!#REF!</definedName>
    <definedName name="XDO_?TX_GT_MARKET_VALUE_DEBT_A?">WCAR!#REF!</definedName>
    <definedName name="XDO_?TX_GT_MARKET_VALUE_DEBT_A?11?">[1]WCLM!#REF!</definedName>
    <definedName name="XDO_?TX_GT_MARKET_VALUE_DEBT_A?13?">'[1]WCLQ-DNU'!#REF!</definedName>
    <definedName name="XDO_?TX_GT_MARKET_VALUE_DEBT_A?16?">[1]WCMC!#REF!</definedName>
    <definedName name="XDO_?TX_GT_MARKET_VALUE_DEBT_A?18?">[1]WCML!#REF!</definedName>
    <definedName name="XDO_?TX_GT_MARKET_VALUE_DEBT_A?20?">[1]WCSC!#REF!</definedName>
    <definedName name="XDO_?TX_GT_MARKET_VALUE_DEBT_A?3?">[1]WCET!#REF!</definedName>
    <definedName name="XDO_?TX_GT_MARKET_VALUE_DEBT_A?5?">[1]WCFL!#REF!</definedName>
    <definedName name="XDO_?TX_GT_MARKET_VALUE_DEBT_A?7?">[1]WCGE!#REF!</definedName>
    <definedName name="XDO_?TX_GT_MARKET_VALUE_DEBT_A?9?">[1]WCGF!#REF!</definedName>
    <definedName name="XDO_?TX_GT_MARKET_VALUE_DEBT_ALL?">WCAR!$E$68</definedName>
    <definedName name="XDO_?TX_GT_MARKET_VALUE_DEBT_B?">WCAR!#REF!</definedName>
    <definedName name="XDO_?TX_GT_MARKET_VALUE_DEBT_B?10?">[1]WCGF!#REF!</definedName>
    <definedName name="XDO_?TX_GT_MARKET_VALUE_DEBT_B?12?">[1]WCLM!#REF!</definedName>
    <definedName name="XDO_?TX_GT_MARKET_VALUE_DEBT_B?14?">'[1]WCLQ-DNU'!#REF!</definedName>
    <definedName name="XDO_?TX_GT_MARKET_VALUE_DEBT_B?16?">[1]WCMA!#REF!</definedName>
    <definedName name="XDO_?TX_GT_MARKET_VALUE_DEBT_B?18?">[1]WCMC!#REF!</definedName>
    <definedName name="XDO_?TX_GT_MARKET_VALUE_DEBT_B?2?">[1]WCBA!#REF!</definedName>
    <definedName name="XDO_?TX_GT_MARKET_VALUE_DEBT_B?20?">[1]WCML!#REF!</definedName>
    <definedName name="XDO_?TX_GT_MARKET_VALUE_DEBT_B?22?">[1]WCSC!#REF!</definedName>
    <definedName name="XDO_?TX_GT_MARKET_VALUE_DEBT_B?4?">[1]WCET!#REF!</definedName>
    <definedName name="XDO_?TX_GT_MARKET_VALUE_DEBT_B?6?">[1]WCFL!#REF!</definedName>
    <definedName name="XDO_?TX_GT_MARKET_VALUE_DEBT_B?8?">[1]WCGE!#REF!</definedName>
    <definedName name="XDO_?TX_GT_MARKET_VALUE_DEBT_C?">WCAR!#REF!</definedName>
    <definedName name="XDO_?TX_GT_MARKET_VALUE_DEBT_C?10?">[1]WCGF!#REF!</definedName>
    <definedName name="XDO_?TX_GT_MARKET_VALUE_DEBT_C?12?">[1]WCLM!#REF!</definedName>
    <definedName name="XDO_?TX_GT_MARKET_VALUE_DEBT_C?16?">[1]WCMA!#REF!</definedName>
    <definedName name="XDO_?TX_GT_MARKET_VALUE_DEBT_C?18?">[1]WCMC!#REF!</definedName>
    <definedName name="XDO_?TX_GT_MARKET_VALUE_DEBT_C?2?">[1]WCBA!#REF!</definedName>
    <definedName name="XDO_?TX_GT_MARKET_VALUE_DEBT_C?20?">[1]WCML!#REF!</definedName>
    <definedName name="XDO_?TX_GT_MARKET_VALUE_DEBT_C?22?">[1]WCSC!#REF!</definedName>
    <definedName name="XDO_?TX_GT_MARKET_VALUE_DEBT_C?4?">[1]WCET!#REF!</definedName>
    <definedName name="XDO_?TX_GT_MARKET_VALUE_DEBT_C?6?">[1]WCFL!#REF!</definedName>
    <definedName name="XDO_?TX_GT_MARKET_VALUE_DEBT_C?8?">[1]WCGE!#REF!</definedName>
    <definedName name="XDO_?TX_GT_MARKET_VALUE_DEBT_D?">WCAR!#REF!</definedName>
    <definedName name="XDO_?TX_GT_MARKET_VALUE_DEBT_D?10?">[1]WCGF!#REF!</definedName>
    <definedName name="XDO_?TX_GT_MARKET_VALUE_DEBT_D?12?">[1]WCLM!#REF!</definedName>
    <definedName name="XDO_?TX_GT_MARKET_VALUE_DEBT_D?15?">[1]WCMA!#REF!</definedName>
    <definedName name="XDO_?TX_GT_MARKET_VALUE_DEBT_D?17?">[1]WCMC!#REF!</definedName>
    <definedName name="XDO_?TX_GT_MARKET_VALUE_DEBT_D?19?">[1]WCML!#REF!</definedName>
    <definedName name="XDO_?TX_GT_MARKET_VALUE_DEBT_D?2?">[1]WCBA!#REF!</definedName>
    <definedName name="XDO_?TX_GT_MARKET_VALUE_DEBT_D?21?">[1]WCSC!#REF!</definedName>
    <definedName name="XDO_?TX_GT_MARKET_VALUE_DEBT_D?4?">[1]WCET!#REF!</definedName>
    <definedName name="XDO_?TX_GT_MARKET_VALUE_DEBT_D?6?">[1]WCFL!#REF!</definedName>
    <definedName name="XDO_?TX_GT_MARKET_VALUE_EQU_ALL?">WCAR!$E$57</definedName>
    <definedName name="XDO_?TX_GT_MARKET_VALUE_GRAND?">WCAR!$E$90:$E$92</definedName>
    <definedName name="XDO_?TX_GT_MARKET_VALUE_MM_ALL?">WCAR!$E$79</definedName>
    <definedName name="XDO_?TX_GT_PER_NET_ASSET_DEBT_ALL?">WCAR!$F$68</definedName>
    <definedName name="XDO_?TX_GT_PER_NET_ASST_DEBT_A?">WCAR!#REF!</definedName>
    <definedName name="XDO_?TX_GT_PER_NET_ASST_DEBT_A?11?">[1]WCLM!#REF!</definedName>
    <definedName name="XDO_?TX_GT_PER_NET_ASST_DEBT_A?13?">'[1]WCLQ-DNU'!#REF!</definedName>
    <definedName name="XDO_?TX_GT_PER_NET_ASST_DEBT_A?16?">[1]WCMC!#REF!</definedName>
    <definedName name="XDO_?TX_GT_PER_NET_ASST_DEBT_A?18?">[1]WCML!#REF!</definedName>
    <definedName name="XDO_?TX_GT_PER_NET_ASST_DEBT_A?20?">[1]WCSC!#REF!</definedName>
    <definedName name="XDO_?TX_GT_PER_NET_ASST_DEBT_A?3?">[1]WCET!#REF!</definedName>
    <definedName name="XDO_?TX_GT_PER_NET_ASST_DEBT_A?5?">[1]WCFL!#REF!</definedName>
    <definedName name="XDO_?TX_GT_PER_NET_ASST_DEBT_A?7?">[1]WCGE!#REF!</definedName>
    <definedName name="XDO_?TX_GT_PER_NET_ASST_DEBT_A?9?">[1]WCGF!#REF!</definedName>
    <definedName name="XDO_?TX_GT_PER_NET_ASST_DEBT_B?">WCAR!#REF!</definedName>
    <definedName name="XDO_?TX_GT_PER_NET_ASST_DEBT_B?10?">[1]WCGF!#REF!</definedName>
    <definedName name="XDO_?TX_GT_PER_NET_ASST_DEBT_B?12?">[1]WCLM!#REF!</definedName>
    <definedName name="XDO_?TX_GT_PER_NET_ASST_DEBT_B?14?">'[1]WCLQ-DNU'!#REF!</definedName>
    <definedName name="XDO_?TX_GT_PER_NET_ASST_DEBT_B?16?">[1]WCMA!#REF!</definedName>
    <definedName name="XDO_?TX_GT_PER_NET_ASST_DEBT_B?18?">[1]WCMC!#REF!</definedName>
    <definedName name="XDO_?TX_GT_PER_NET_ASST_DEBT_B?2?">[1]WCBA!#REF!</definedName>
    <definedName name="XDO_?TX_GT_PER_NET_ASST_DEBT_B?20?">[1]WCML!#REF!</definedName>
    <definedName name="XDO_?TX_GT_PER_NET_ASST_DEBT_B?22?">[1]WCSC!#REF!</definedName>
    <definedName name="XDO_?TX_GT_PER_NET_ASST_DEBT_B?4?">[1]WCET!#REF!</definedName>
    <definedName name="XDO_?TX_GT_PER_NET_ASST_DEBT_B?6?">[1]WCFL!#REF!</definedName>
    <definedName name="XDO_?TX_GT_PER_NET_ASST_DEBT_B?8?">[1]WCGE!#REF!</definedName>
    <definedName name="XDO_?TX_GT_PER_NET_ASST_DEBT_C?">WCAR!#REF!</definedName>
    <definedName name="XDO_?TX_GT_PER_NET_ASST_DEBT_C?10?">[1]WCGF!#REF!</definedName>
    <definedName name="XDO_?TX_GT_PER_NET_ASST_DEBT_C?12?">[1]WCLM!#REF!</definedName>
    <definedName name="XDO_?TX_GT_PER_NET_ASST_DEBT_C?16?">[1]WCMA!#REF!</definedName>
    <definedName name="XDO_?TX_GT_PER_NET_ASST_DEBT_C?18?">[1]WCMC!#REF!</definedName>
    <definedName name="XDO_?TX_GT_PER_NET_ASST_DEBT_C?2?">[1]WCBA!#REF!</definedName>
    <definedName name="XDO_?TX_GT_PER_NET_ASST_DEBT_C?20?">[1]WCML!#REF!</definedName>
    <definedName name="XDO_?TX_GT_PER_NET_ASST_DEBT_C?22?">[1]WCSC!#REF!</definedName>
    <definedName name="XDO_?TX_GT_PER_NET_ASST_DEBT_C?4?">[1]WCET!#REF!</definedName>
    <definedName name="XDO_?TX_GT_PER_NET_ASST_DEBT_C?6?">[1]WCFL!#REF!</definedName>
    <definedName name="XDO_?TX_GT_PER_NET_ASST_DEBT_C?8?">[1]WCGE!#REF!</definedName>
    <definedName name="XDO_?TX_GT_PER_NET_ASST_DEBT_D?">WCAR!#REF!</definedName>
    <definedName name="XDO_?TX_GT_PER_NET_ASST_DEBT_D?10?">[1]WCGF!#REF!</definedName>
    <definedName name="XDO_?TX_GT_PER_NET_ASST_DEBT_D?12?">[1]WCLM!#REF!</definedName>
    <definedName name="XDO_?TX_GT_PER_NET_ASST_DEBT_D?15?">[1]WCMA!#REF!</definedName>
    <definedName name="XDO_?TX_GT_PER_NET_ASST_DEBT_D?17?">[1]WCMC!#REF!</definedName>
    <definedName name="XDO_?TX_GT_PER_NET_ASST_DEBT_D?19?">[1]WCML!#REF!</definedName>
    <definedName name="XDO_?TX_GT_PER_NET_ASST_DEBT_D?2?">[1]WCBA!#REF!</definedName>
    <definedName name="XDO_?TX_GT_PER_NET_ASST_DEBT_D?21?">[1]WCSC!#REF!</definedName>
    <definedName name="XDO_?TX_GT_PER_NET_ASST_DEBT_D?4?">[1]WCET!#REF!</definedName>
    <definedName name="XDO_?TX_GT_PER_NET_ASST_DEBT_D?6?">[1]WCFL!#REF!</definedName>
    <definedName name="XDO_?TX_GT_PER_NET_ASST_EQU_ALL?">WCAR!$F$57</definedName>
    <definedName name="XDO_?TX_GT_PER_NET_ASST_GRAND?">WCAR!$F$90:$F$92</definedName>
    <definedName name="XDO_?TX_GT_PER_NET_ASST_MM_ALL?">WCAR!$F$79</definedName>
    <definedName name="XDO_?TX_MKT_VAL_DEBT_A_HDN?">WCAR!#REF!</definedName>
    <definedName name="XDO_?TX_MKT_VAL_DEBT_A_HDN?10?">[1]WCGF!#REF!</definedName>
    <definedName name="XDO_?TX_MKT_VAL_DEBT_A_HDN?12?">[1]WCLM!#REF!</definedName>
    <definedName name="XDO_?TX_MKT_VAL_DEBT_A_HDN?14?">'[1]WCLQ-DNU'!#REF!</definedName>
    <definedName name="XDO_?TX_MKT_VAL_DEBT_A_HDN?18?">[1]WCMC!#REF!</definedName>
    <definedName name="XDO_?TX_MKT_VAL_DEBT_A_HDN?20?">[1]WCML!#REF!</definedName>
    <definedName name="XDO_?TX_MKT_VAL_DEBT_A_HDN?22?">[1]WCSC!#REF!</definedName>
    <definedName name="XDO_?TX_MKT_VAL_DEBT_A_HDN?4?">[1]WCET!#REF!</definedName>
    <definedName name="XDO_?TX_MKT_VAL_DEBT_A_HDN?6?">[1]WCFL!#REF!</definedName>
    <definedName name="XDO_?TX_MKT_VAL_DEBT_A_HDN?8?">[1]WCGE!#REF!</definedName>
    <definedName name="XDO_?TX_MKT_VAL_DEBT_B_HDN?">WCAR!$E$62</definedName>
    <definedName name="XDO_?TX_MKT_VAL_DEBT_C_HDN?">WCAR!$E$64</definedName>
    <definedName name="XDO_?TX_MKT_VAL_DEBT_D_HDN?">WCAR!$E$66</definedName>
    <definedName name="XDO_?TX_MKT_VAL_EQU_HDN?">WCAR!$E$6</definedName>
    <definedName name="XDO_?TX_MKT_VAL_EQU_NON_HDN?">WCAR!$E$51</definedName>
    <definedName name="XDO_?TX_MKT_VAL_IVT_HDN?">WCAR!$E$55</definedName>
    <definedName name="XDO_?TX_MKT_VAL_RET_HDN?">WCAR!$E$53</definedName>
    <definedName name="XDO_?TX_PER_NET_DEBT_A_HDN?">WCAR!#REF!</definedName>
    <definedName name="XDO_?TX_PER_NET_DEBT_A_HDN?10?">[1]WCGF!#REF!</definedName>
    <definedName name="XDO_?TX_PER_NET_DEBT_A_HDN?12?">[1]WCLM!#REF!</definedName>
    <definedName name="XDO_?TX_PER_NET_DEBT_A_HDN?14?">'[1]WCLQ-DNU'!#REF!</definedName>
    <definedName name="XDO_?TX_PER_NET_DEBT_A_HDN?18?">[1]WCMC!#REF!</definedName>
    <definedName name="XDO_?TX_PER_NET_DEBT_A_HDN?20?">[1]WCML!#REF!</definedName>
    <definedName name="XDO_?TX_PER_NET_DEBT_A_HDN?22?">[1]WCSC!#REF!</definedName>
    <definedName name="XDO_?TX_PER_NET_DEBT_A_HDN?4?">[1]WCET!#REF!</definedName>
    <definedName name="XDO_?TX_PER_NET_DEBT_A_HDN?6?">[1]WCFL!#REF!</definedName>
    <definedName name="XDO_?TX_PER_NET_DEBT_A_HDN?8?">[1]WCGE!#REF!</definedName>
    <definedName name="XDO_?TX_PER_NET_DEBT_B_HDN?">WCAR!$F$62</definedName>
    <definedName name="XDO_?TX_PER_NET_DEBT_C_HDN?">WCAR!$F$64</definedName>
    <definedName name="XDO_?TX_PER_NET_DEBT_D_HDN?">WCAR!$F$66</definedName>
    <definedName name="XDO_?TX_PER_NET_EQU_HDN?">WCAR!$F$6</definedName>
    <definedName name="XDO_?TX_PER_NET_EQU_NON_HDN?">WCAR!$F$51</definedName>
    <definedName name="XDO_?TX_PER_NET_IVT_HDN?">WCAR!$F$55</definedName>
    <definedName name="XDO_?TX_PER_NET_RET_HDN?">WCAR!$F$53</definedName>
    <definedName name="XDO_?TX_ST_MARKET_VALUE_ALT?">WCAR!$E$80</definedName>
    <definedName name="XDO_?TX_ST_MARKET_VALUE_DRV?">WCAR!$E$23</definedName>
    <definedName name="XDO_?TX_ST_MARKET_VALUE_EQU?">WCAR!$E$50</definedName>
    <definedName name="XDO_?TX_ST_MARKET_VALUE_EQU?10?">'[1]WCLQ-DNU'!#REF!</definedName>
    <definedName name="XDO_?TX_ST_MARKET_VALUE_EQU?5?">[1]WCGE!#REF!</definedName>
    <definedName name="XDO_?TX_ST_MARKET_VALUE_EQU?7?">[1]WCGF!#REF!</definedName>
    <definedName name="XDO_?TX_ST_MARKET_VALUE_EQU_NON?">WCAR!#REF!</definedName>
    <definedName name="XDO_?TX_ST_MARKET_VALUE_EQU_NON?11?">[1]WCLM!#REF!</definedName>
    <definedName name="XDO_?TX_ST_MARKET_VALUE_EQU_NON?13?">'[1]WCLQ-DNU'!#REF!</definedName>
    <definedName name="XDO_?TX_ST_MARKET_VALUE_EQU_NON?16?">[1]WCMC!#REF!</definedName>
    <definedName name="XDO_?TX_ST_MARKET_VALUE_EQU_NON?18?">[1]WCML!#REF!</definedName>
    <definedName name="XDO_?TX_ST_MARKET_VALUE_EQU_NON?2?">[1]WCBA!#REF!</definedName>
    <definedName name="XDO_?TX_ST_MARKET_VALUE_EQU_NON?4?">[1]WCET!#REF!</definedName>
    <definedName name="XDO_?TX_ST_MARKET_VALUE_EQU_NON?7?">[1]WCGE!#REF!</definedName>
    <definedName name="XDO_?TX_ST_MARKET_VALUE_EQU_NON?9?">[1]WCGF!#REF!</definedName>
    <definedName name="XDO_?TX_ST_MARKET_VALUE_ETF?">WCAR!$E$72</definedName>
    <definedName name="XDO_?TX_ST_MARKET_VALUE_FD?">WCAR!$E$76</definedName>
    <definedName name="XDO_?TX_ST_MARKET_VALUE_IRS?">WCAR!$E$63</definedName>
    <definedName name="XDO_?TX_ST_MARKET_VALUE_IVT?">WCAR!#REF!</definedName>
    <definedName name="XDO_?TX_ST_MARKET_VALUE_IVT?10?">[1]WCGF!#REF!</definedName>
    <definedName name="XDO_?TX_ST_MARKET_VALUE_IVT?12?">[1]WCLM!#REF!</definedName>
    <definedName name="XDO_?TX_ST_MARKET_VALUE_IVT?14?">'[1]WCLQ-DNU'!#REF!</definedName>
    <definedName name="XDO_?TX_ST_MARKET_VALUE_IVT?16?">[1]WCMA!#REF!</definedName>
    <definedName name="XDO_?TX_ST_MARKET_VALUE_IVT?18?">[1]WCMC!#REF!</definedName>
    <definedName name="XDO_?TX_ST_MARKET_VALUE_IVT?2?">[1]WCBA!#REF!</definedName>
    <definedName name="XDO_?TX_ST_MARKET_VALUE_IVT?20?">[1]WCML!#REF!</definedName>
    <definedName name="XDO_?TX_ST_MARKET_VALUE_IVT?22?">[1]WCSC!#REF!</definedName>
    <definedName name="XDO_?TX_ST_MARKET_VALUE_IVT?4?">[1]WCET!#REF!</definedName>
    <definedName name="XDO_?TX_ST_MARKET_VALUE_IVT?6?">[1]WCFL!#REF!</definedName>
    <definedName name="XDO_?TX_ST_MARKET_VALUE_IVT?8?">[1]WCGE!#REF!</definedName>
    <definedName name="XDO_?TX_ST_MARKET_VALUE_MFU?">WCAR!$E$68</definedName>
    <definedName name="XDO_?TX_ST_MARKET_VALUE_MM?">WCAR!$E$48</definedName>
    <definedName name="XDO_?TX_ST_MARKET_VALUE_OTHERS?">WCAR!#REF!</definedName>
    <definedName name="XDO_?TX_ST_MARKET_VALUE_OTHERS?11?">[1]WCLM!#REF!</definedName>
    <definedName name="XDO_?TX_ST_MARKET_VALUE_OTHERS?17?">[1]WCMC!#REF!</definedName>
    <definedName name="XDO_?TX_ST_MARKET_VALUE_OTHERS?19?">[1]WCML!#REF!</definedName>
    <definedName name="XDO_?TX_ST_MARKET_VALUE_OTHERS?21?">[1]WCSC!#REF!</definedName>
    <definedName name="XDO_?TX_ST_MARKET_VALUE_OTHERS?4?">[1]WCET!#REF!</definedName>
    <definedName name="XDO_?TX_ST_MARKET_VALUE_OTHERS?6?">[1]WCFL!#REF!</definedName>
    <definedName name="XDO_?TX_ST_MARKET_VALUE_OTHERS?9?">[1]WCGF!#REF!</definedName>
    <definedName name="XDO_?TX_ST_MARKET_VALUE_PRF?">WCAR!#REF!</definedName>
    <definedName name="XDO_?TX_ST_MARKET_VALUE_PRF?10?">[1]WCGF!#REF!</definedName>
    <definedName name="XDO_?TX_ST_MARKET_VALUE_PRF?12?">[1]WCLM!#REF!</definedName>
    <definedName name="XDO_?TX_ST_MARKET_VALUE_PRF?14?">'[1]WCLQ-DNU'!#REF!</definedName>
    <definedName name="XDO_?TX_ST_MARKET_VALUE_PRF?16?">[1]WCMA!#REF!</definedName>
    <definedName name="XDO_?TX_ST_MARKET_VALUE_PRF?18?">[1]WCMC!#REF!</definedName>
    <definedName name="XDO_?TX_ST_MARKET_VALUE_PRF?2?">[1]WCBA!#REF!</definedName>
    <definedName name="XDO_?TX_ST_MARKET_VALUE_PRF?20?">[1]WCML!#REF!</definedName>
    <definedName name="XDO_?TX_ST_MARKET_VALUE_PRF?22?">[1]WCSC!#REF!</definedName>
    <definedName name="XDO_?TX_ST_MARKET_VALUE_PRF?4?">[1]WCET!#REF!</definedName>
    <definedName name="XDO_?TX_ST_MARKET_VALUE_PRF?6?">[1]WCFL!#REF!</definedName>
    <definedName name="XDO_?TX_ST_MARKET_VALUE_PRF?8?">[1]WCGE!#REF!</definedName>
    <definedName name="XDO_?TX_ST_MARKET_VALUE_RET?">WCAR!#REF!</definedName>
    <definedName name="XDO_?TX_ST_MARKET_VALUE_RET?10?">[1]WCGF!#REF!</definedName>
    <definedName name="XDO_?TX_ST_MARKET_VALUE_RET?12?">[1]WCLM!#REF!</definedName>
    <definedName name="XDO_?TX_ST_MARKET_VALUE_RET?14?">'[1]WCLQ-DNU'!#REF!</definedName>
    <definedName name="XDO_?TX_ST_MARKET_VALUE_RET?17?">[1]WCMC!#REF!</definedName>
    <definedName name="XDO_?TX_ST_MARKET_VALUE_RET?19?">[1]WCML!#REF!</definedName>
    <definedName name="XDO_?TX_ST_MARKET_VALUE_RET?2?">[1]WCBA!#REF!</definedName>
    <definedName name="XDO_?TX_ST_MARKET_VALUE_RET?21?">[1]WCSC!#REF!</definedName>
    <definedName name="XDO_?TX_ST_MARKET_VALUE_RET?4?">[1]WCET!#REF!</definedName>
    <definedName name="XDO_?TX_ST_MARKET_VALUE_RET?6?">[1]WCFL!#REF!</definedName>
    <definedName name="XDO_?TX_ST_MARKET_VALUE_RET?8?">[1]WCGE!#REF!</definedName>
    <definedName name="XDO_?TX_ST_MARKET_VALUE_RR?">WCAR!#REF!</definedName>
    <definedName name="XDO_?TX_ST_MARKET_VALUE_RR?10?">[1]WCGF!#REF!</definedName>
    <definedName name="XDO_?TX_ST_MARKET_VALUE_RR?12?">[1]WCLM!#REF!</definedName>
    <definedName name="XDO_?TX_ST_MARKET_VALUE_RR?14?">'[1]WCLQ-DNU'!#REF!</definedName>
    <definedName name="XDO_?TX_ST_MARKET_VALUE_RR?16?">[1]WCMA!#REF!</definedName>
    <definedName name="XDO_?TX_ST_MARKET_VALUE_RR?18?">[1]WCMC!#REF!</definedName>
    <definedName name="XDO_?TX_ST_MARKET_VALUE_RR?2?">[1]WCBA!#REF!</definedName>
    <definedName name="XDO_?TX_ST_MARKET_VALUE_RR?20?">[1]WCML!#REF!</definedName>
    <definedName name="XDO_?TX_ST_MARKET_VALUE_RR?22?">[1]WCSC!#REF!</definedName>
    <definedName name="XDO_?TX_ST_MARKET_VALUE_RR?4?">[1]WCET!#REF!</definedName>
    <definedName name="XDO_?TX_ST_MARKET_VALUE_RR?6?">[1]WCFL!#REF!</definedName>
    <definedName name="XDO_?TX_ST_MARKET_VALUE_RR?8?">[1]WCGE!#REF!</definedName>
    <definedName name="XDO_?TX_ST_MARKET_VALUE_TREP?">WCAR!$E$76</definedName>
    <definedName name="XDO_?TX_ST_PER_NET_ASST_ALT?">WCAR!$F$80</definedName>
    <definedName name="XDO_?TX_ST_PER_NET_ASST_DRV?">WCAR!$F$23</definedName>
    <definedName name="XDO_?TX_ST_PER_NET_ASST_EQU?">WCAR!$F$50</definedName>
    <definedName name="XDO_?TX_ST_PER_NET_ASST_EQU?10?">'[1]WCLQ-DNU'!#REF!</definedName>
    <definedName name="XDO_?TX_ST_PER_NET_ASST_EQU?5?">[1]WCGE!#REF!</definedName>
    <definedName name="XDO_?TX_ST_PER_NET_ASST_EQU?7?">[1]WCGF!#REF!</definedName>
    <definedName name="XDO_?TX_ST_PER_NET_ASST_EQU_NON?">WCAR!#REF!</definedName>
    <definedName name="XDO_?TX_ST_PER_NET_ASST_EQU_NON?11?">[1]WCLM!#REF!</definedName>
    <definedName name="XDO_?TX_ST_PER_NET_ASST_EQU_NON?13?">'[1]WCLQ-DNU'!#REF!</definedName>
    <definedName name="XDO_?TX_ST_PER_NET_ASST_EQU_NON?16?">[1]WCMC!#REF!</definedName>
    <definedName name="XDO_?TX_ST_PER_NET_ASST_EQU_NON?18?">[1]WCML!#REF!</definedName>
    <definedName name="XDO_?TX_ST_PER_NET_ASST_EQU_NON?2?">[1]WCBA!#REF!</definedName>
    <definedName name="XDO_?TX_ST_PER_NET_ASST_EQU_NON?4?">[1]WCET!#REF!</definedName>
    <definedName name="XDO_?TX_ST_PER_NET_ASST_EQU_NON?7?">[1]WCGE!#REF!</definedName>
    <definedName name="XDO_?TX_ST_PER_NET_ASST_EQU_NON?9?">[1]WCGF!#REF!</definedName>
    <definedName name="XDO_?TX_ST_PER_NET_ASST_ETF?">WCAR!$F$72</definedName>
    <definedName name="XDO_?TX_ST_PER_NET_ASST_FD?">WCAR!$F$76</definedName>
    <definedName name="XDO_?TX_ST_PER_NET_ASST_IRS?">WCAR!$F$63</definedName>
    <definedName name="XDO_?TX_ST_PER_NET_ASST_IVT?">WCAR!#REF!</definedName>
    <definedName name="XDO_?TX_ST_PER_NET_ASST_IVT?10?">[1]WCGF!#REF!</definedName>
    <definedName name="XDO_?TX_ST_PER_NET_ASST_IVT?12?">[1]WCLM!#REF!</definedName>
    <definedName name="XDO_?TX_ST_PER_NET_ASST_IVT?14?">'[1]WCLQ-DNU'!#REF!</definedName>
    <definedName name="XDO_?TX_ST_PER_NET_ASST_IVT?16?">[1]WCMA!#REF!</definedName>
    <definedName name="XDO_?TX_ST_PER_NET_ASST_IVT?18?">[1]WCMC!#REF!</definedName>
    <definedName name="XDO_?TX_ST_PER_NET_ASST_IVT?2?">[1]WCBA!#REF!</definedName>
    <definedName name="XDO_?TX_ST_PER_NET_ASST_IVT?20?">[1]WCML!#REF!</definedName>
    <definedName name="XDO_?TX_ST_PER_NET_ASST_IVT?22?">[1]WCSC!#REF!</definedName>
    <definedName name="XDO_?TX_ST_PER_NET_ASST_IVT?4?">[1]WCET!#REF!</definedName>
    <definedName name="XDO_?TX_ST_PER_NET_ASST_IVT?6?">[1]WCFL!#REF!</definedName>
    <definedName name="XDO_?TX_ST_PER_NET_ASST_IVT?8?">[1]WCGE!#REF!</definedName>
    <definedName name="XDO_?TX_ST_PER_NET_ASST_MFU?">WCAR!$F$68</definedName>
    <definedName name="XDO_?TX_ST_PER_NET_ASST_MM?">WCAR!$F$48</definedName>
    <definedName name="XDO_?TX_ST_PER_NET_ASST_OTHERS?">WCAR!#REF!</definedName>
    <definedName name="XDO_?TX_ST_PER_NET_ASST_OTHERS?11?">[1]WCLM!#REF!</definedName>
    <definedName name="XDO_?TX_ST_PER_NET_ASST_OTHERS?17?">[1]WCMC!#REF!</definedName>
    <definedName name="XDO_?TX_ST_PER_NET_ASST_OTHERS?19?">[1]WCML!#REF!</definedName>
    <definedName name="XDO_?TX_ST_PER_NET_ASST_OTHERS?21?">[1]WCSC!#REF!</definedName>
    <definedName name="XDO_?TX_ST_PER_NET_ASST_OTHERS?4?">[1]WCET!#REF!</definedName>
    <definedName name="XDO_?TX_ST_PER_NET_ASST_OTHERS?6?">[1]WCFL!#REF!</definedName>
    <definedName name="XDO_?TX_ST_PER_NET_ASST_OTHERS?9?">[1]WCGF!#REF!</definedName>
    <definedName name="XDO_?TX_ST_PER_NET_ASST_PRF?">WCAR!#REF!</definedName>
    <definedName name="XDO_?TX_ST_PER_NET_ASST_PRF?10?">[1]WCGF!#REF!</definedName>
    <definedName name="XDO_?TX_ST_PER_NET_ASST_PRF?12?">[1]WCLM!#REF!</definedName>
    <definedName name="XDO_?TX_ST_PER_NET_ASST_PRF?14?">'[1]WCLQ-DNU'!#REF!</definedName>
    <definedName name="XDO_?TX_ST_PER_NET_ASST_PRF?16?">[1]WCMA!#REF!</definedName>
    <definedName name="XDO_?TX_ST_PER_NET_ASST_PRF?18?">[1]WCMC!#REF!</definedName>
    <definedName name="XDO_?TX_ST_PER_NET_ASST_PRF?2?">[1]WCBA!#REF!</definedName>
    <definedName name="XDO_?TX_ST_PER_NET_ASST_PRF?20?">[1]WCML!#REF!</definedName>
    <definedName name="XDO_?TX_ST_PER_NET_ASST_PRF?22?">[1]WCSC!#REF!</definedName>
    <definedName name="XDO_?TX_ST_PER_NET_ASST_PRF?4?">[1]WCET!#REF!</definedName>
    <definedName name="XDO_?TX_ST_PER_NET_ASST_PRF?6?">[1]WCFL!#REF!</definedName>
    <definedName name="XDO_?TX_ST_PER_NET_ASST_PRF?8?">[1]WCGE!#REF!</definedName>
    <definedName name="XDO_?TX_ST_PER_NET_ASST_RET?">WCAR!#REF!</definedName>
    <definedName name="XDO_?TX_ST_PER_NET_ASST_RET?10?">[1]WCGF!#REF!</definedName>
    <definedName name="XDO_?TX_ST_PER_NET_ASST_RET?12?">[1]WCLM!#REF!</definedName>
    <definedName name="XDO_?TX_ST_PER_NET_ASST_RET?14?">'[1]WCLQ-DNU'!#REF!</definedName>
    <definedName name="XDO_?TX_ST_PER_NET_ASST_RET?17?">[1]WCMC!#REF!</definedName>
    <definedName name="XDO_?TX_ST_PER_NET_ASST_RET?19?">[1]WCML!#REF!</definedName>
    <definedName name="XDO_?TX_ST_PER_NET_ASST_RET?2?">[1]WCBA!#REF!</definedName>
    <definedName name="XDO_?TX_ST_PER_NET_ASST_RET?21?">[1]WCSC!#REF!</definedName>
    <definedName name="XDO_?TX_ST_PER_NET_ASST_RET?4?">[1]WCET!#REF!</definedName>
    <definedName name="XDO_?TX_ST_PER_NET_ASST_RET?6?">[1]WCFL!#REF!</definedName>
    <definedName name="XDO_?TX_ST_PER_NET_ASST_RET?8?">[1]WCGE!#REF!</definedName>
    <definedName name="XDO_?TX_ST_PER_NET_ASST_RR?">WCAR!#REF!</definedName>
    <definedName name="XDO_?TX_ST_PER_NET_ASST_RR?10?">[1]WCGF!#REF!</definedName>
    <definedName name="XDO_?TX_ST_PER_NET_ASST_RR?12?">[1]WCLM!#REF!</definedName>
    <definedName name="XDO_?TX_ST_PER_NET_ASST_RR?14?">'[1]WCLQ-DNU'!#REF!</definedName>
    <definedName name="XDO_?TX_ST_PER_NET_ASST_RR?16?">[1]WCMA!#REF!</definedName>
    <definedName name="XDO_?TX_ST_PER_NET_ASST_RR?18?">[1]WCMC!#REF!</definedName>
    <definedName name="XDO_?TX_ST_PER_NET_ASST_RR?2?">[1]WCBA!#REF!</definedName>
    <definedName name="XDO_?TX_ST_PER_NET_ASST_RR?20?">[1]WCML!#REF!</definedName>
    <definedName name="XDO_?TX_ST_PER_NET_ASST_RR?22?">[1]WCSC!#REF!</definedName>
    <definedName name="XDO_?TX_ST_PER_NET_ASST_RR?4?">[1]WCET!#REF!</definedName>
    <definedName name="XDO_?TX_ST_PER_NET_ASST_RR?6?">[1]WCFL!#REF!</definedName>
    <definedName name="XDO_?TX_ST_PER_NET_ASST_RR?8?">[1]WCGE!#REF!</definedName>
    <definedName name="XDO_?TX_ST_PER_NET_ASST_TREP?">WCAR!$F$76</definedName>
    <definedName name="XDO_?YIELDS_ALT?">WCAR!$I$79</definedName>
    <definedName name="XDO_?YIELDS_DEBT_A?">WCAR!$I$28</definedName>
    <definedName name="XDO_?YIELDS_DEBT_B?">WCAR!$I$31</definedName>
    <definedName name="XDO_?YIELDS_DEBT_C?">WCAR!$I$34</definedName>
    <definedName name="XDO_?YIELDS_DEBT_D?">WCAR!$I$37</definedName>
    <definedName name="XDO_?YIELDS_DRV?">WCAR!$I$22</definedName>
    <definedName name="XDO_?YIELDS_EQU?">WCAR!$I$7:$I$49</definedName>
    <definedName name="XDO_?YIELDS_EQU_NON?">WCAR!$I$10</definedName>
    <definedName name="XDO_?YIELDS_ETF?">WCAR!$I$71</definedName>
    <definedName name="XDO_?YIELDS_FD?">WCAR!$I$75</definedName>
    <definedName name="XDO_?YIELDS_IRS?">WCAR!$I$62</definedName>
    <definedName name="XDO_?YIELDS_IVT?">WCAR!$I$16</definedName>
    <definedName name="XDO_?YIELDS_MFU?">WCAR!$I$67:$I$86</definedName>
    <definedName name="XDO_?YIELDS_MM?">WCAR!$I$47</definedName>
    <definedName name="XDO_?YIELDS_OTHERS?">WCAR!$I$42</definedName>
    <definedName name="XDO_?YIELDS_PRF?">WCAR!$I$58</definedName>
    <definedName name="XDO_?YIELDS_RET?">WCAR!$I$13</definedName>
    <definedName name="XDO_?YIELDS_RR?">WCAR!$I$53</definedName>
    <definedName name="XDO_?YIELDS_TREP?">WCAR!$I$50:$I$75</definedName>
    <definedName name="XDO_GROUP_?G_11?">WCAR!#REF!</definedName>
    <definedName name="XDO_GROUP_?G_11?10?">[1]WCML!#REF!</definedName>
    <definedName name="XDO_GROUP_?G_11?11?">[1]WCSC!#REF!</definedName>
    <definedName name="XDO_GROUP_?G_11?2?">[1]WCET!#REF!</definedName>
    <definedName name="XDO_GROUP_?G_11?3?">[1]WCFL!#REF!</definedName>
    <definedName name="XDO_GROUP_?G_11?4?">[1]WCGE!#REF!</definedName>
    <definedName name="XDO_GROUP_?G_11?5?">[1]WCGF!#REF!</definedName>
    <definedName name="XDO_GROUP_?G_11?6?">[1]WCLM!#REF!</definedName>
    <definedName name="XDO_GROUP_?G_11?7?">'[1]WCLQ-DNU'!#REF!</definedName>
    <definedName name="XDO_GROUP_?G_11?9?">[1]WCMC!#REF!</definedName>
    <definedName name="XDO_GROUP_?G_12?">WCAR!#REF!</definedName>
    <definedName name="XDO_GROUP_?G_12?1?">[1]WCBA!#REF!</definedName>
    <definedName name="XDO_GROUP_?G_12?10?">[1]WCML!#REF!</definedName>
    <definedName name="XDO_GROUP_?G_12?11?">[1]WCSC!#REF!</definedName>
    <definedName name="XDO_GROUP_?G_12?2?">[1]WCET!#REF!</definedName>
    <definedName name="XDO_GROUP_?G_12?3?">[1]WCFL!#REF!</definedName>
    <definedName name="XDO_GROUP_?G_12?4?">[1]WCGE!#REF!</definedName>
    <definedName name="XDO_GROUP_?G_12?5?">[1]WCGF!#REF!</definedName>
    <definedName name="XDO_GROUP_?G_12?6?">[1]WCLM!#REF!</definedName>
    <definedName name="XDO_GROUP_?G_12?8?">[1]WCMA!#REF!</definedName>
    <definedName name="XDO_GROUP_?G_12?9?">[1]WCMC!#REF!</definedName>
    <definedName name="XDO_GROUP_?G_13?">WCAR!#REF!</definedName>
    <definedName name="XDO_GROUP_?G_13?1?">[1]WCBA!#REF!</definedName>
    <definedName name="XDO_GROUP_?G_13?10?">[1]WCML!#REF!</definedName>
    <definedName name="XDO_GROUP_?G_13?11?">[1]WCSC!#REF!</definedName>
    <definedName name="XDO_GROUP_?G_13?2?">[1]WCET!#REF!</definedName>
    <definedName name="XDO_GROUP_?G_13?3?">[1]WCFL!#REF!</definedName>
    <definedName name="XDO_GROUP_?G_13?4?">[1]WCGE!#REF!</definedName>
    <definedName name="XDO_GROUP_?G_13?5?">[1]WCGF!#REF!</definedName>
    <definedName name="XDO_GROUP_?G_13?6?">[1]WCLM!#REF!</definedName>
    <definedName name="XDO_GROUP_?G_13?7?">'[1]WCLQ-DNU'!#REF!</definedName>
    <definedName name="XDO_GROUP_?G_13?8?">[1]WCMA!#REF!</definedName>
    <definedName name="XDO_GROUP_?G_13?9?">[1]WCMC!#REF!</definedName>
    <definedName name="XDO_GROUP_?G_14?">WCAR!#REF!</definedName>
    <definedName name="XDO_GROUP_?G_14?1?">[1]WCBA!#REF!</definedName>
    <definedName name="XDO_GROUP_?G_14?10?">[1]WCML!#REF!</definedName>
    <definedName name="XDO_GROUP_?G_14?11?">[1]WCSC!#REF!</definedName>
    <definedName name="XDO_GROUP_?G_14?2?">[1]WCET!#REF!</definedName>
    <definedName name="XDO_GROUP_?G_14?3?">[1]WCFL!#REF!</definedName>
    <definedName name="XDO_GROUP_?G_14?4?">[1]WCGE!#REF!</definedName>
    <definedName name="XDO_GROUP_?G_14?5?">[1]WCGF!#REF!</definedName>
    <definedName name="XDO_GROUP_?G_14?6?">[1]WCLM!#REF!</definedName>
    <definedName name="XDO_GROUP_?G_14?7?">'[1]WCLQ-DNU'!#REF!</definedName>
    <definedName name="XDO_GROUP_?G_14?8?">[1]WCMA!#REF!</definedName>
    <definedName name="XDO_GROUP_?G_14?9?">[1]WCMC!#REF!</definedName>
    <definedName name="XDO_GROUP_?G_15?">WCAR!$A$28:$J$28</definedName>
    <definedName name="XDO_GROUP_?G_16?">WCAR!#REF!</definedName>
    <definedName name="XDO_GROUP_?G_16?10?">[1]WCML!#REF!</definedName>
    <definedName name="XDO_GROUP_?G_16?11?">[1]WCSC!#REF!</definedName>
    <definedName name="XDO_GROUP_?G_16?2?">[1]WCET!#REF!</definedName>
    <definedName name="XDO_GROUP_?G_16?3?">[1]WCFL!#REF!</definedName>
    <definedName name="XDO_GROUP_?G_16?4?">[1]WCGE!#REF!</definedName>
    <definedName name="XDO_GROUP_?G_16?5?">[1]WCGF!#REF!</definedName>
    <definedName name="XDO_GROUP_?G_16?6?">[1]WCLM!#REF!</definedName>
    <definedName name="XDO_GROUP_?G_16?9?">[1]WCMC!#REF!</definedName>
    <definedName name="XDO_GROUP_?G_17?">WCAR!$A$47:$J$47</definedName>
    <definedName name="XDO_GROUP_?G_18?">WCAR!$A$85:$J$88</definedName>
    <definedName name="XDO_GROUP_?G_18?1?">[1]WCBA!#REF!</definedName>
    <definedName name="XDO_GROUP_?G_18?10?">[1]WCML!#REF!</definedName>
    <definedName name="XDO_GROUP_?G_18?11?">[1]WCSC!#REF!</definedName>
    <definedName name="XDO_GROUP_?G_18?2?">[1]WCET!#REF!</definedName>
    <definedName name="XDO_GROUP_?G_18?3?">[1]WCFL!#REF!</definedName>
    <definedName name="XDO_GROUP_?G_18?4?">[1]WCGE!#REF!</definedName>
    <definedName name="XDO_GROUP_?G_18?5?">[1]WCGF!#REF!</definedName>
    <definedName name="XDO_GROUP_?G_18?6?">[1]WCLM!#REF!</definedName>
    <definedName name="XDO_GROUP_?G_18?7?">'[1]WCLQ-DNU'!#REF!</definedName>
    <definedName name="XDO_GROUP_?G_18?8?">[1]WCMA!#REF!</definedName>
    <definedName name="XDO_GROUP_?G_18?9?">[1]WCMC!#REF!</definedName>
    <definedName name="XDO_GROUP_?G_19?">WCAR!#REF!</definedName>
    <definedName name="XDO_GROUP_?G_19?1?">[1]WCBA!#REF!</definedName>
    <definedName name="XDO_GROUP_?G_19?10?">[1]WCML!#REF!</definedName>
    <definedName name="XDO_GROUP_?G_19?11?">[1]WCSC!#REF!</definedName>
    <definedName name="XDO_GROUP_?G_19?2?">[1]WCET!#REF!</definedName>
    <definedName name="XDO_GROUP_?G_19?3?">[1]WCFL!#REF!</definedName>
    <definedName name="XDO_GROUP_?G_19?4?">[1]WCGE!#REF!</definedName>
    <definedName name="XDO_GROUP_?G_19?5?">[1]WCGF!#REF!</definedName>
    <definedName name="XDO_GROUP_?G_19?6?">[1]WCLM!#REF!</definedName>
    <definedName name="XDO_GROUP_?G_19?7?">'[1]WCLQ-DNU'!#REF!</definedName>
    <definedName name="XDO_GROUP_?G_19?8?">[1]WCMA!#REF!</definedName>
    <definedName name="XDO_GROUP_?G_19?9?">[1]WCMC!#REF!</definedName>
    <definedName name="XDO_GROUP_?G_20?">WCAR!$A$75:$J$75</definedName>
    <definedName name="XDO_GROUP_?G_21?">WCAR!$A$86:$J$86</definedName>
    <definedName name="XDO_GROUP_?G_23?">WCAR!$A$75:$J$75</definedName>
    <definedName name="XDO_GROUP_?G_25?">WCAR!$A$92:$J$92</definedName>
    <definedName name="XDO_GROUP_?G_26?">WCAR!#REF!</definedName>
    <definedName name="XDO_GROUP_?G_26?1?">[1]WCBA!#REF!</definedName>
    <definedName name="XDO_GROUP_?G_26?10?">[1]WCML!#REF!</definedName>
    <definedName name="XDO_GROUP_?G_26?11?">[1]WCSC!#REF!</definedName>
    <definedName name="XDO_GROUP_?G_26?2?">[1]WCET!#REF!</definedName>
    <definedName name="XDO_GROUP_?G_26?3?">[1]WCFL!#REF!</definedName>
    <definedName name="XDO_GROUP_?G_26?4?">[1]WCGE!#REF!</definedName>
    <definedName name="XDO_GROUP_?G_26?5?">[1]WCGF!#REF!</definedName>
    <definedName name="XDO_GROUP_?G_26?6?">[1]WCLM!#REF!</definedName>
    <definedName name="XDO_GROUP_?G_26?8?">[1]WCMA!#REF!</definedName>
    <definedName name="XDO_GROUP_?G_26?9?">[1]WCMC!#REF!</definedName>
    <definedName name="XDO_GROUP_?G_27?">WCAR!$A$79:$J$79</definedName>
    <definedName name="XDO_GROUP_?G_29?">WCAR!#REF!</definedName>
    <definedName name="XDO_GROUP_?G_29?1?">[1]WCBA!#REF!</definedName>
    <definedName name="XDO_GROUP_?G_29?10?">[1]WCML!#REF!</definedName>
    <definedName name="XDO_GROUP_?G_29?11?">[1]WCSC!#REF!</definedName>
    <definedName name="XDO_GROUP_?G_29?2?">[1]WCET!#REF!</definedName>
    <definedName name="XDO_GROUP_?G_29?3?">[1]WCFL!#REF!</definedName>
    <definedName name="XDO_GROUP_?G_29?4?">[1]WCGE!#REF!</definedName>
    <definedName name="XDO_GROUP_?G_29?5?">[1]WCGF!#REF!</definedName>
    <definedName name="XDO_GROUP_?G_29?6?">[1]WCLM!#REF!</definedName>
    <definedName name="XDO_GROUP_?G_29?7?">'[1]WCLQ-DNU'!#REF!</definedName>
    <definedName name="XDO_GROUP_?G_29?8?">[1]WCMA!#REF!</definedName>
    <definedName name="XDO_GROUP_?G_29?9?">[1]WCMC!#REF!</definedName>
    <definedName name="XDO_GROUP_?G_3?">WCAR!$A$7:$J$49</definedName>
    <definedName name="XDO_GROUP_?G_3?4?">[1]WCGE!#REF!</definedName>
    <definedName name="XDO_GROUP_?G_3?5?">[1]WCGF!#REF!</definedName>
    <definedName name="XDO_GROUP_?G_3?7?">'[1]WCLQ-DNU'!#REF!</definedName>
    <definedName name="XDO_GROUP_?G_30?">WCAR!#REF!</definedName>
    <definedName name="XDO_GROUP_?G_30?1?">[1]WCBA!#REF!</definedName>
    <definedName name="XDO_GROUP_?G_30?10?">[1]WCML!#REF!</definedName>
    <definedName name="XDO_GROUP_?G_30?11?">[1]WCSC!#REF!</definedName>
    <definedName name="XDO_GROUP_?G_30?2?">[1]WCET!#REF!</definedName>
    <definedName name="XDO_GROUP_?G_30?3?">[1]WCFL!#REF!</definedName>
    <definedName name="XDO_GROUP_?G_30?4?">[1]WCGE!#REF!</definedName>
    <definedName name="XDO_GROUP_?G_30?5?">[1]WCGF!#REF!</definedName>
    <definedName name="XDO_GROUP_?G_30?6?">[1]WCLM!#REF!</definedName>
    <definedName name="XDO_GROUP_?G_30?7?">'[1]WCLQ-DNU'!#REF!</definedName>
    <definedName name="XDO_GROUP_?G_30?8?">[1]WCMA!#REF!</definedName>
    <definedName name="XDO_GROUP_?G_30?9?">[1]WCMC!#REF!</definedName>
    <definedName name="XDO_GROUP_?G_31?">WCAR!$A$62:$J$62</definedName>
    <definedName name="XDO_GROUP_?G_33?">WCAR!#REF!</definedName>
    <definedName name="XDO_GROUP_?G_33?1?">[1]WCBA!#REF!</definedName>
    <definedName name="XDO_GROUP_?G_33?10?">[1]WCML!#REF!</definedName>
    <definedName name="XDO_GROUP_?G_33?11?">[1]WCSC!#REF!</definedName>
    <definedName name="XDO_GROUP_?G_33?2?">[1]WCET!#REF!</definedName>
    <definedName name="XDO_GROUP_?G_33?3?">[1]WCFL!#REF!</definedName>
    <definedName name="XDO_GROUP_?G_33?4?">[1]WCGE!#REF!</definedName>
    <definedName name="XDO_GROUP_?G_33?5?">[1]WCGF!#REF!</definedName>
    <definedName name="XDO_GROUP_?G_33?6?">[1]WCLM!#REF!</definedName>
    <definedName name="XDO_GROUP_?G_33?7?">'[1]WCLQ-DNU'!#REF!</definedName>
    <definedName name="XDO_GROUP_?G_33?8?">[1]WCMA!#REF!</definedName>
    <definedName name="XDO_GROUP_?G_33?9?">[1]WCMC!#REF!</definedName>
    <definedName name="XDO_GROUP_?G_35?">WCAR!#REF!</definedName>
    <definedName name="XDO_GROUP_?G_35?1?">[1]WCBA!#REF!</definedName>
    <definedName name="XDO_GROUP_?G_35?10?">[1]WCML!#REF!</definedName>
    <definedName name="XDO_GROUP_?G_35?11?">[1]WCSC!#REF!</definedName>
    <definedName name="XDO_GROUP_?G_35?2?">[1]WCET!#REF!</definedName>
    <definedName name="XDO_GROUP_?G_35?3?">[1]WCFL!#REF!</definedName>
    <definedName name="XDO_GROUP_?G_35?5?">[1]WCGF!#REF!</definedName>
    <definedName name="XDO_GROUP_?G_35?6?">[1]WCLM!#REF!</definedName>
    <definedName name="XDO_GROUP_?G_35?7?">'[1]WCLQ-DNU'!#REF!</definedName>
    <definedName name="XDO_GROUP_?G_35?8?">[1]WCMA!#REF!</definedName>
    <definedName name="XDO_GROUP_?G_35?9?">[1]WCMC!#REF!</definedName>
    <definedName name="XDO_GROUP_?G_37?">WCAR!#REF!</definedName>
    <definedName name="XDO_GROUP_?G_37?1?">[1]WCBA!#REF!</definedName>
    <definedName name="XDO_GROUP_?G_37?10?">[1]WCML!#REF!</definedName>
    <definedName name="XDO_GROUP_?G_37?11?">[1]WCSC!#REF!</definedName>
    <definedName name="XDO_GROUP_?G_37?2?">[1]WCET!#REF!</definedName>
    <definedName name="XDO_GROUP_?G_37?3?">[1]WCFL!#REF!</definedName>
    <definedName name="XDO_GROUP_?G_37?4?">[1]WCGE!#REF!</definedName>
    <definedName name="XDO_GROUP_?G_37?5?">[1]WCGF!#REF!</definedName>
    <definedName name="XDO_GROUP_?G_37?6?">[1]WCLM!#REF!</definedName>
    <definedName name="XDO_GROUP_?G_37?7?">'[1]WCLQ-DNU'!#REF!</definedName>
    <definedName name="XDO_GROUP_?G_37?9?">[1]WCMC!#REF!</definedName>
    <definedName name="XDO_GROUP_?G_39?">WCAR!#REF!</definedName>
    <definedName name="XDO_GROUP_?G_39?1?">[1]WCBA!#REF!</definedName>
    <definedName name="XDO_GROUP_?G_39?10?">[1]WCML!#REF!</definedName>
    <definedName name="XDO_GROUP_?G_39?11?">[1]WCSC!#REF!</definedName>
    <definedName name="XDO_GROUP_?G_39?2?">[1]WCET!#REF!</definedName>
    <definedName name="XDO_GROUP_?G_39?3?">[1]WCFL!#REF!</definedName>
    <definedName name="XDO_GROUP_?G_39?4?">[1]WCGE!#REF!</definedName>
    <definedName name="XDO_GROUP_?G_39?5?">[1]WCGF!#REF!</definedName>
    <definedName name="XDO_GROUP_?G_39?6?">[1]WCLM!#REF!</definedName>
    <definedName name="XDO_GROUP_?G_39?7?">'[1]WCLQ-DNU'!#REF!</definedName>
    <definedName name="XDO_GROUP_?G_39?8?">[1]WCMA!#REF!</definedName>
    <definedName name="XDO_GROUP_?G_39?9?">[1]WCMC!#REF!</definedName>
    <definedName name="XDO_GROUP_?G_40?">WCAR!#REF!</definedName>
    <definedName name="XDO_GROUP_?G_40?1?">[1]WCBA!#REF!</definedName>
    <definedName name="XDO_GROUP_?G_40?10?">[1]WCML!#REF!</definedName>
    <definedName name="XDO_GROUP_?G_40?11?">[1]WCSC!#REF!</definedName>
    <definedName name="XDO_GROUP_?G_40?2?">[1]WCET!#REF!</definedName>
    <definedName name="XDO_GROUP_?G_40?3?">[1]WCFL!#REF!</definedName>
    <definedName name="XDO_GROUP_?G_40?4?">[1]WCGE!#REF!</definedName>
    <definedName name="XDO_GROUP_?G_40?6?">[1]WCLM!#REF!</definedName>
    <definedName name="XDO_GROUP_?G_40?7?">'[1]WCLQ-DNU'!#REF!</definedName>
    <definedName name="XDO_GROUP_?G_40?9?">[1]WCMC!#REF!</definedName>
    <definedName name="XDO_GROUP_?G_41?">WCAR!$A$71:$J$71</definedName>
    <definedName name="XDO_GROUP_?G_5?">WCAR!#REF!</definedName>
    <definedName name="XDO_GROUP_?G_5?1?">[1]WCBA!#REF!</definedName>
    <definedName name="XDO_GROUP_?G_5?10?">[1]WCML!#REF!</definedName>
    <definedName name="XDO_GROUP_?G_5?2?">[1]WCET!#REF!</definedName>
    <definedName name="XDO_GROUP_?G_5?4?">[1]WCGE!#REF!</definedName>
    <definedName name="XDO_GROUP_?G_5?5?">[1]WCGF!#REF!</definedName>
    <definedName name="XDO_GROUP_?G_5?6?">[1]WCLM!#REF!</definedName>
    <definedName name="XDO_GROUP_?G_5?7?">'[1]WCLQ-DNU'!#REF!</definedName>
    <definedName name="XDO_GROUP_?G_5?9?">[1]WCMC!#REF!</definedName>
    <definedName name="XDO_GROUP_?G_6?">WCAR!#REF!</definedName>
    <definedName name="XDO_GROUP_?G_6?1?">[1]WCBA!#REF!</definedName>
    <definedName name="XDO_GROUP_?G_6?10?">[1]WCML!#REF!</definedName>
    <definedName name="XDO_GROUP_?G_6?11?">[1]WCSC!#REF!</definedName>
    <definedName name="XDO_GROUP_?G_6?2?">[1]WCET!#REF!</definedName>
    <definedName name="XDO_GROUP_?G_6?3?">[1]WCFL!#REF!</definedName>
    <definedName name="XDO_GROUP_?G_6?4?">[1]WCGE!#REF!</definedName>
    <definedName name="XDO_GROUP_?G_6?5?">[1]WCGF!#REF!</definedName>
    <definedName name="XDO_GROUP_?G_6?6?">[1]WCLM!#REF!</definedName>
    <definedName name="XDO_GROUP_?G_6?7?">'[1]WCLQ-DNU'!#REF!</definedName>
    <definedName name="XDO_GROUP_?G_6?8?">[1]WCMA!#REF!</definedName>
    <definedName name="XDO_GROUP_?G_6?9?">[1]WCMC!#REF!</definedName>
    <definedName name="XDO_GROUP_?G_7?">WCAR!$A$22:$J$22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91" i="1" l="1"/>
  <c r="E91"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alcChain>
</file>

<file path=xl/sharedStrings.xml><?xml version="1.0" encoding="utf-8"?>
<sst xmlns="http://schemas.openxmlformats.org/spreadsheetml/2006/main" count="454" uniqueCount="257">
  <si>
    <t>THE WEALTH COMPANY MUTUAL FUND</t>
  </si>
  <si>
    <t>THE WEALTH COMPANY ARBITRAGE FUND</t>
  </si>
  <si>
    <t>Monthly Portfolio Statement for the period ended 30.September.2026</t>
  </si>
  <si>
    <t>ISIN</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</si>
  <si>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</si>
  <si>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</si>
  <si>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</si>
  <si>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</si>
  <si>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</si>
  <si>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</si>
  <si>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</si>
  <si>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</si>
  <si>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</si>
  <si>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</si>
  <si>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INE090A01021</t>
  </si>
  <si>
    <t>ICICI Bank Limited</t>
  </si>
  <si>
    <t>Banks</t>
  </si>
  <si>
    <t>INE238A01034</t>
  </si>
  <si>
    <t>Axis Bank Limited</t>
  </si>
  <si>
    <t>INE476A01022</t>
  </si>
  <si>
    <t>Canara Bank</t>
  </si>
  <si>
    <t>INE257A01026</t>
  </si>
  <si>
    <t>Bharat Heavy Electricals Limited</t>
  </si>
  <si>
    <t>Electrical Equipment</t>
  </si>
  <si>
    <t>INE040A01034</t>
  </si>
  <si>
    <t>HDFC Bank Limited</t>
  </si>
  <si>
    <t>INE669E01016</t>
  </si>
  <si>
    <t>Vodafone Idea Limited</t>
  </si>
  <si>
    <t>Telecom - Services</t>
  </si>
  <si>
    <t>INE484J01027</t>
  </si>
  <si>
    <t>Godrej Properties Limited</t>
  </si>
  <si>
    <t>Realty</t>
  </si>
  <si>
    <t>INE081A01020</t>
  </si>
  <si>
    <t>Tata Steel Limited</t>
  </si>
  <si>
    <t>Ferrous Metals</t>
  </si>
  <si>
    <t>INE364U01010</t>
  </si>
  <si>
    <t>Adani Green Energy Limited</t>
  </si>
  <si>
    <t>Power</t>
  </si>
  <si>
    <t>INE465A01025</t>
  </si>
  <si>
    <t>Bharat Forge Limited</t>
  </si>
  <si>
    <t>Auto Components</t>
  </si>
  <si>
    <t>INE092T01019</t>
  </si>
  <si>
    <t>IDFC First Bank Limited</t>
  </si>
  <si>
    <t>INE376G01013</t>
  </si>
  <si>
    <t>Biocon Limited</t>
  </si>
  <si>
    <t>Pharmaceuticals &amp; Biotechnology</t>
  </si>
  <si>
    <t>INE121J01017</t>
  </si>
  <si>
    <t>Indus Towers Limited</t>
  </si>
  <si>
    <t>INE423A01024</t>
  </si>
  <si>
    <t>Adani Enterprises Limited</t>
  </si>
  <si>
    <t>Metals &amp; Minerals Trading</t>
  </si>
  <si>
    <t>INE976G01028</t>
  </si>
  <si>
    <t>RBL Bank Limited</t>
  </si>
  <si>
    <t>INE528G01035</t>
  </si>
  <si>
    <t>Yes Bank Ltd</t>
  </si>
  <si>
    <t>INE775A01035</t>
  </si>
  <si>
    <t>Samvardhana Motherson International Ltd</t>
  </si>
  <si>
    <t>INE0J1Y01017</t>
  </si>
  <si>
    <t>Life Insurance Corporation Of India</t>
  </si>
  <si>
    <t>Insurance</t>
  </si>
  <si>
    <t>INE931S01010</t>
  </si>
  <si>
    <t>Adani Energy Solutions Limited</t>
  </si>
  <si>
    <t>INE795G01014</t>
  </si>
  <si>
    <t>HDFC Life Insurance Company Limited</t>
  </si>
  <si>
    <t>INE016A01026</t>
  </si>
  <si>
    <t>Dabur India Limited</t>
  </si>
  <si>
    <t>Personal Products</t>
  </si>
  <si>
    <t>INE029A01011</t>
  </si>
  <si>
    <t>Bharat Petroleum Corporation Limited</t>
  </si>
  <si>
    <t>Petroleum Products</t>
  </si>
  <si>
    <t>INE397D01024</t>
  </si>
  <si>
    <t>Bharti Airtel Limited</t>
  </si>
  <si>
    <t>INE196A01026</t>
  </si>
  <si>
    <t>Marico Limited</t>
  </si>
  <si>
    <t>Agricultural Food &amp; other Products</t>
  </si>
  <si>
    <t>INE053A01029</t>
  </si>
  <si>
    <t>The Indian Hotels Company Limited</t>
  </si>
  <si>
    <t>Leisure Services</t>
  </si>
  <si>
    <t>INE180A01020</t>
  </si>
  <si>
    <t>Max Financial Services Limited</t>
  </si>
  <si>
    <t>INE002A01018</t>
  </si>
  <si>
    <t>Reliance Industries Limited</t>
  </si>
  <si>
    <t>INE457A01014</t>
  </si>
  <si>
    <t>Bank of Maharashtra</t>
  </si>
  <si>
    <t>INE0W2G01015</t>
  </si>
  <si>
    <t>Sagility Limited</t>
  </si>
  <si>
    <t>IT - Services</t>
  </si>
  <si>
    <t>INE095N01031</t>
  </si>
  <si>
    <t>NBCC (India) Limited</t>
  </si>
  <si>
    <t>Construction</t>
  </si>
  <si>
    <t>INE296A01032</t>
  </si>
  <si>
    <t>Bajaj Finance Limited</t>
  </si>
  <si>
    <t>Finance</t>
  </si>
  <si>
    <t>INE061F01013</t>
  </si>
  <si>
    <t>Fortis Healthcare Limited</t>
  </si>
  <si>
    <t>Healthcare Services</t>
  </si>
  <si>
    <t>INE028A01039</t>
  </si>
  <si>
    <t>Bank of Baroda</t>
  </si>
  <si>
    <t>INE022Q01020</t>
  </si>
  <si>
    <t>Indian Energy Exchange Limited</t>
  </si>
  <si>
    <t>Capital Markets</t>
  </si>
  <si>
    <t>INE200M01039</t>
  </si>
  <si>
    <t>Varun Beverages Limited</t>
  </si>
  <si>
    <t>Beverages</t>
  </si>
  <si>
    <t>INE299U01018</t>
  </si>
  <si>
    <t>Crompton Greaves Consumer Electrical Ltd</t>
  </si>
  <si>
    <t>Consumer Durables</t>
  </si>
  <si>
    <t>INE776C01039</t>
  </si>
  <si>
    <t>GMR Airports Limited</t>
  </si>
  <si>
    <t>Transport Infrastructure</t>
  </si>
  <si>
    <t>INE545U01014</t>
  </si>
  <si>
    <t>Bandhan Bank Limited</t>
  </si>
  <si>
    <t>INE102D01028</t>
  </si>
  <si>
    <t>Godrej Consumer Products Limited</t>
  </si>
  <si>
    <t>INE018E01016</t>
  </si>
  <si>
    <t>SBI Cards and Payment Services Limited</t>
  </si>
  <si>
    <t>INE758E01017</t>
  </si>
  <si>
    <t>Jio Financial Services Limited</t>
  </si>
  <si>
    <t>INE237A01036</t>
  </si>
  <si>
    <t>Kotak Mahindra Bank Limited</t>
  </si>
  <si>
    <t>INE298A01020</t>
  </si>
  <si>
    <t>Cummins India Limited</t>
  </si>
  <si>
    <t>Industrial Products</t>
  </si>
  <si>
    <t>Sub Total</t>
  </si>
  <si>
    <t>(b) Unlisted</t>
  </si>
  <si>
    <t>NIL</t>
  </si>
  <si>
    <t>Real Est Inv Trust</t>
  </si>
  <si>
    <t>Infra Inv Trust</t>
  </si>
  <si>
    <t>Total</t>
  </si>
  <si>
    <t>DEBT INSTRUMENTS</t>
  </si>
  <si>
    <t>(a) Listed / awaiting listing on Stock Exchanges</t>
  </si>
  <si>
    <t>(b) Privately placed / Unlisted</t>
  </si>
  <si>
    <t>(c) Securitized Debt Instruments</t>
  </si>
  <si>
    <t>(d) Government Securities / SDL</t>
  </si>
  <si>
    <t>Others</t>
  </si>
  <si>
    <t>MONEY MARKET INSTRUMENTS</t>
  </si>
  <si>
    <t>TREPS</t>
  </si>
  <si>
    <t>The Clearing Corporation of India Ltd. 01-OCT-2026</t>
  </si>
  <si>
    <t>01-OCT-2026</t>
  </si>
  <si>
    <t>Reverse Repo Instrument</t>
  </si>
  <si>
    <t>Preference share</t>
  </si>
  <si>
    <t>Mutual Fund Units</t>
  </si>
  <si>
    <t>INF2F0001081</t>
  </si>
  <si>
    <t>The Wealth Company Liquid Fund - Direct Growth</t>
  </si>
  <si>
    <t>Cash &amp; Cash Equivalents</t>
  </si>
  <si>
    <t>Net Receivable/Payable</t>
  </si>
  <si>
    <t>Grand Total</t>
  </si>
  <si>
    <t>NOTES :</t>
  </si>
  <si>
    <t>Net Asset Values per unit as follows - Plan/Option</t>
  </si>
  <si>
    <t>Plan/Option</t>
  </si>
  <si>
    <t>As on September 30, 2026</t>
  </si>
  <si>
    <t>As on August 31, 2026</t>
  </si>
  <si>
    <t>REGULAR PLAN GROWTH</t>
  </si>
  <si>
    <t>(Rs.)</t>
  </si>
  <si>
    <t>DIRECT PLAN GROWTH</t>
  </si>
  <si>
    <t>DIRECT PLAN IDCW</t>
  </si>
  <si>
    <t>REGULAR PLAN IDCW</t>
  </si>
  <si>
    <t>* Allotment date - 14-10-2025</t>
  </si>
  <si>
    <t>Dividend declared during the period (Gross)-Plan is NIL</t>
  </si>
  <si>
    <t>Bonus declared during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</si>
  <si>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</si>
  <si>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</si>
  <si>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</si>
  <si>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</si>
  <si>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Portfolio Turnover Ratio is not computed since the Scheme has not completed 1 year from its inception.</t>
  </si>
  <si>
    <t>Details of Tranactions of Credit Default Swaps(CDS) is Nil</t>
  </si>
  <si>
    <t>Details of hedging positions through Interest Rate Derivatives (IRS/IRF) is Nil</t>
  </si>
  <si>
    <t>Amount parked in Short Term Deposits is Nil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</si>
  <si>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</si>
  <si>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</si>
  <si>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</si>
  <si>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</si>
  <si>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September 30, 2026:</t>
  </si>
  <si>
    <t xml:space="preserve">Underlying </t>
  </si>
  <si>
    <t>Long / Short</t>
  </si>
  <si>
    <t xml:space="preserve">Futures Price 
when purchased </t>
  </si>
  <si>
    <t xml:space="preserve">Current price 
of the contract </t>
  </si>
  <si>
    <t xml:space="preserve">Margin 
maintained in 
Rs. Lakhs </t>
  </si>
  <si>
    <t>Adani Energy Solutions Limited 27/10/2026</t>
  </si>
  <si>
    <t>Short</t>
  </si>
  <si>
    <t>Adani Enterprises Limited 27/10/2026</t>
  </si>
  <si>
    <t>Adani Green Energy Limited 27/10/2026</t>
  </si>
  <si>
    <t>Axis Bank Limited 27/10/2026</t>
  </si>
  <si>
    <t>Bajaj Finance Limited 27/10/2026</t>
  </si>
  <si>
    <t>Bandhan Bank Ltd. 27/10/2026</t>
  </si>
  <si>
    <t>Bank of Baroda 27/10/2026</t>
  </si>
  <si>
    <t>Bank of Maharashtra 27/10/2026</t>
  </si>
  <si>
    <t>Bharat Forge Limited 27/10/2026</t>
  </si>
  <si>
    <t>Bharat Heavy Electricals Ltd 27/10/2026</t>
  </si>
  <si>
    <t>Bharat Petroleum Corp Ltd 27/10/2026</t>
  </si>
  <si>
    <t>Bharti Airtel Limited 27/10/2026</t>
  </si>
  <si>
    <t>Biocon Ltd 27/10/2026</t>
  </si>
  <si>
    <t>Canara Bank 27/10/2026</t>
  </si>
  <si>
    <t>Crompton Greaves Consumer Elec Ltd 27/10/2026</t>
  </si>
  <si>
    <t>Cummins India Ltd. 27/10/2026</t>
  </si>
  <si>
    <t>Dabur India Limited 27/10/2026</t>
  </si>
  <si>
    <t>Fortis Healthcare Ltd 27/10/2026</t>
  </si>
  <si>
    <t>GMR Airports Limited 27/10/2026</t>
  </si>
  <si>
    <t>Godrej Consumer Products Limited 27/10/2026</t>
  </si>
  <si>
    <t>Godrej Properties Limited 27/10/2026</t>
  </si>
  <si>
    <t>HDFC Bank Limited 27/10/2026</t>
  </si>
  <si>
    <t>HDFC Life Insurance Co Ltd 27/10/2026</t>
  </si>
  <si>
    <t>ICICI Bank Limited 27/10/2026</t>
  </si>
  <si>
    <t>IDFC First Bank Limited 27/10/2026</t>
  </si>
  <si>
    <t>Indian Energy Exchange Limited 27/10/2026</t>
  </si>
  <si>
    <t>Indian Hotels Co Ltd 27/10/2026</t>
  </si>
  <si>
    <t>Indus Towers Limited 27/10/2026</t>
  </si>
  <si>
    <t>Jio Financial Services Limited 27/10/2026</t>
  </si>
  <si>
    <t>Kotak Mahindra Bank Limited 27/10/2026</t>
  </si>
  <si>
    <t>Life Insurance Corporation Of India 27/10/2026</t>
  </si>
  <si>
    <t>Marico Limited 27/10/2026</t>
  </si>
  <si>
    <t>Max Financial Services Ltd 27/10/2026</t>
  </si>
  <si>
    <t>National Building Construction Corp 27/10/2026</t>
  </si>
  <si>
    <t>RBL Bank Limited 27/10/2026</t>
  </si>
  <si>
    <t>Reliance Industries Limited 27/10/2026</t>
  </si>
  <si>
    <t>SAGILITY LIMITED 27/10/2026</t>
  </si>
  <si>
    <t>Samvardhana Motherson International Ltd 27/10/2026</t>
  </si>
  <si>
    <t>SBI Cards &amp; Payment Services Ltd 27/10/2026</t>
  </si>
  <si>
    <t>Tata Steel Limited 27/10/2026</t>
  </si>
  <si>
    <t>Varun Beverages Limited 27/10/2026</t>
  </si>
  <si>
    <t>Vodafone Idea Ltd. 27/10/2026</t>
  </si>
  <si>
    <t>YES Bank Ltd. 27/10/2026</t>
  </si>
  <si>
    <t>Cummins India Limited 27/10/2026</t>
  </si>
  <si>
    <t>SBI Cards and Payment Services Limited 27/10/2026</t>
  </si>
  <si>
    <t>Bandhan Bank Limited 27/10/2026</t>
  </si>
  <si>
    <t>Crompton Greaves Consumer Electrical Ltd 27/10/2026</t>
  </si>
  <si>
    <t>Fortis Healthcare Limited 27/10/2026</t>
  </si>
  <si>
    <t>NBCC (India) Limited 27/10/2026</t>
  </si>
  <si>
    <t>Sagility Limited 27/10/2026</t>
  </si>
  <si>
    <t>Max Financial Services Limited 27/10/2026</t>
  </si>
  <si>
    <t>The Indian Hotels Company Limited 27/10/2026</t>
  </si>
  <si>
    <t>Bharat Petroleum Corporation Limited 27/10/2026</t>
  </si>
  <si>
    <t>HDFC Life Insurance Company Limited 27/10/2026</t>
  </si>
  <si>
    <t>Yes Bank Ltd 27/10/2026</t>
  </si>
  <si>
    <t>Biocon Limited 27/10/2026</t>
  </si>
  <si>
    <t>Vodafone Idea Limited 27/10/2026</t>
  </si>
  <si>
    <t>Bharat Heavy Electricals Limited 27/10/2026</t>
  </si>
  <si>
    <t>Total outstanding exposure in derivative instruments at the end of the period - Short -(Rs in Lakhs) : (9525.07)</t>
  </si>
  <si>
    <t>Total 69.16% of existing assets hedged through futures as on 30/09/2026</t>
  </si>
  <si>
    <t>For the month ended September 30, 2026,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</si>
  <si>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</si>
  <si>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</si>
  <si>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</si>
  <si>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</si>
  <si>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</si>
  <si>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30/09/2026</t>
  </si>
  <si>
    <t>For the month ended September 30, 2026, following are the non-hedging transactions through futures which have been squared off / expired :</t>
  </si>
  <si>
    <t>This Product is suitable for investors who are seeking*:</t>
  </si>
  <si>
    <t>Scheme Riskometer</t>
  </si>
  <si>
    <t>Benchmark Riskometer</t>
  </si>
  <si>
    <t>NIFTY 50 Arbitrage TRI</t>
  </si>
  <si>
    <t>The risk of the scheme is low to moderate</t>
  </si>
  <si>
    <t>The risk of the benchmark is low</t>
  </si>
  <si>
    <r>
      <t>•</t>
    </r>
    <r>
      <rPr>
        <sz val="11"/>
        <color indexed="63"/>
        <rFont val="Calibri"/>
        <family val="2"/>
        <scheme val="minor"/>
      </rPr>
      <t>    To generate income over a short term investment horizon.</t>
    </r>
  </si>
  <si>
    <r>
      <t>•</t>
    </r>
    <r>
      <rPr>
        <sz val="11"/>
        <color indexed="63"/>
        <rFont val="Calibri"/>
        <family val="2"/>
        <scheme val="minor"/>
      </rPr>
      <t>    Predominantly investing in arbitrage opportunities in the cash and derivatives segment of the equity market and by investing the balance in debt and money market instrument.</t>
    </r>
  </si>
  <si>
    <r>
      <t xml:space="preserve">*Investors </t>
    </r>
    <r>
      <rPr>
        <sz val="11"/>
        <color indexed="63"/>
        <rFont val="Calibri"/>
        <family val="2"/>
        <scheme val="minor"/>
      </rPr>
      <t xml:space="preserve">should </t>
    </r>
    <r>
      <rPr>
        <sz val="11"/>
        <color indexed="23"/>
        <rFont val="Calibri"/>
        <family val="2"/>
        <scheme val="minor"/>
      </rPr>
      <t xml:space="preserve">consult their </t>
    </r>
    <r>
      <rPr>
        <sz val="11"/>
        <color indexed="63"/>
        <rFont val="Calibri"/>
        <family val="2"/>
        <scheme val="minor"/>
      </rPr>
      <t xml:space="preserve">financial </t>
    </r>
    <r>
      <rPr>
        <sz val="11"/>
        <color indexed="23"/>
        <rFont val="Calibri"/>
        <family val="2"/>
        <scheme val="minor"/>
      </rPr>
      <t xml:space="preserve">advisers if </t>
    </r>
    <r>
      <rPr>
        <sz val="11"/>
        <color indexed="63"/>
        <rFont val="Calibri"/>
        <family val="2"/>
        <scheme val="minor"/>
      </rPr>
      <t xml:space="preserve">in </t>
    </r>
    <r>
      <rPr>
        <sz val="11"/>
        <color indexed="23"/>
        <rFont val="Calibri"/>
        <family val="2"/>
        <scheme val="minor"/>
      </rPr>
      <t xml:space="preserve">doubt </t>
    </r>
    <r>
      <rPr>
        <sz val="11"/>
        <color indexed="63"/>
        <rFont val="Calibri"/>
        <family val="2"/>
        <scheme val="minor"/>
      </rPr>
      <t xml:space="preserve">about </t>
    </r>
    <r>
      <rPr>
        <sz val="11"/>
        <color indexed="23"/>
        <rFont val="Calibri"/>
        <family val="2"/>
        <scheme val="minor"/>
      </rPr>
      <t xml:space="preserve">whether the product is </t>
    </r>
    <r>
      <rPr>
        <sz val="11"/>
        <color indexed="63"/>
        <rFont val="Calibri"/>
        <family val="2"/>
        <scheme val="minor"/>
      </rPr>
      <t xml:space="preserve">suitable </t>
    </r>
    <r>
      <rPr>
        <sz val="11"/>
        <color indexed="23"/>
        <rFont val="Calibri"/>
        <family val="2"/>
        <scheme val="minor"/>
      </rPr>
      <t>for them.</t>
    </r>
  </si>
  <si>
    <t>$ Less Than 0.01% of NAV, wherever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</si>
</sst>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
    <numFmt numFmtId="165" formatCode="#,##0.0000%"/>
    <numFmt numFmtId="166" formatCode="0.00\%"/>
    <numFmt numFmtId="167" formatCode="0.00&quot;%&quot;"/>
    <numFmt numFmtId="168" formatCode="#,##0.00;\(#,##0.00\)"/>
    <numFmt numFmtId="169" formatCode="#,##0%"/>
    <numFmt numFmtId="170" formatCode="_(* #,##0.00_);_(* \(#,##0.00\);_(* &quot;-&quot;??_);_(@_)"/>
    <numFmt numFmtId="171" formatCode="0.0000"/>
    <numFmt numFmtId="172" formatCode="_(* #,##0_);_(* \(#,##0\);_(* &quot;-&quot;??_);_(@_)"/>
    <numFmt numFmtId="173" formatCode="_-* #,##0.00_-;\-* #,##0.00_-;_-* &quot;-&quot;??_-;_-@_-"/>
  </numFmts>
  <fonts count="20" x14ac:knownFonts="1">
    <font>
      <sz val="11"/>
      <color theme="1"/>
      <name val="Calibri"/>
      <family val="2"/>
    </font>
    <font>
      <sz val="11"/>
      <color theme="1"/>
      <name val="Calibri"/>
      <family val="2"/>
      <scheme val="minor"/>
    </font>
    <font>
      <b/>
      <sz val="11"/>
      <color theme="1"/>
      <name val="Calibri"/>
      <family val="2"/>
      <scheme val="minor"/>
    </font>
    <font>
      <sz val="11"/>
      <color theme="0"/>
      <name val="Calibri"/>
      <family val="2"/>
      <scheme val="minor"/>
    </font>
    <font>
      <sz val="10"/>
      <name val="Mangal"/>
      <family val="2"/>
    </font>
    <font>
      <sz val="11"/>
      <color indexed="8"/>
      <name val="Calibri"/>
      <family val="2"/>
    </font>
    <font>
      <sz val="10"/>
      <name val="Arial"/>
      <family val="2"/>
    </font>
    <font>
      <sz val="10"/>
      <name val="Century Gothic"/>
      <family val="2"/>
    </font>
    <font>
      <sz val="11"/>
      <color theme="1"/>
      <name val="Century Gothic"/>
      <family val="2"/>
    </font>
    <font>
      <sz val="11"/>
      <color indexed="72"/>
      <name val="Calibri"/>
      <family val="2"/>
      <scheme val="minor"/>
    </font>
    <font>
      <b/>
      <sz val="11"/>
      <color indexed="9"/>
      <name val="Calibri"/>
      <family val="2"/>
      <scheme val="minor"/>
    </font>
    <font>
      <b/>
      <sz val="11"/>
      <color indexed="8"/>
      <name val="Calibri"/>
      <family val="2"/>
      <scheme val="minor"/>
    </font>
    <font>
      <sz val="11"/>
      <color indexed="63"/>
      <name val="Calibri"/>
      <family val="2"/>
      <scheme val="minor"/>
    </font>
    <font>
      <sz val="11"/>
      <color indexed="23"/>
      <name val="Calibri"/>
      <family val="2"/>
      <scheme val="minor"/>
    </font>
    <font>
      <sz val="11"/>
      <color indexed="8"/>
      <name val="Calibri"/>
      <family val="2"/>
      <scheme val="minor"/>
    </font>
    <font>
      <b/>
      <sz val="11"/>
      <color indexed="72"/>
      <name val="Calibri"/>
      <family val="2"/>
      <scheme val="minor"/>
    </font>
    <font>
      <b/>
      <sz val="11"/>
      <name val="Calibri"/>
      <family val="2"/>
      <scheme val="minor"/>
    </font>
    <font>
      <sz val="11"/>
      <name val="Calibri"/>
      <family val="2"/>
      <scheme val="minor"/>
    </font>
    <font>
      <b/>
      <sz val="11"/>
      <color indexed="56"/>
      <name val="Calibri"/>
      <family val="2"/>
      <scheme val="minor"/>
    </font>
    <font>
      <i/>
      <sz val="11"/>
      <color indexed="8"/>
      <name val="Calibri"/>
      <family val="2"/>
      <scheme val="minor"/>
    </font>
  </fonts>
  <fills count="5">
    <fill>
      <patternFill patternType="none"/>
    </fill>
    <fill>
      <patternFill patternType="gray125"/>
    </fill>
    <fill>
      <patternFill patternType="solid">
        <fgColor indexed="8"/>
        <bgColor indexed="64"/>
      </patternFill>
    </fill>
    <fill>
      <patternFill patternType="solid">
        <fgColor indexed="9"/>
        <bgColor indexed="58"/>
      </patternFill>
    </fill>
    <fill>
      <patternFill patternType="solid">
        <fgColor indexed="23"/>
        <bgColor indexed="58"/>
      </patternFill>
    </fill>
  </fills>
  <borders count="7">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2">
    <xf numFmtId="0" fontId="0" fillId="0" borderId="0"/>
    <xf numFmtId="170" fontId="5" fillId="0" borderId="0" applyFont="0" applyFill="0" applyBorder="0" applyAlignment="0" applyProtection="0"/>
    <xf numFmtId="9" fontId="5" fillId="0" borderId="0" applyFont="0" applyFill="0" applyBorder="0" applyAlignment="0" applyProtection="0"/>
    <xf numFmtId="0" fontId="4" fillId="0" borderId="0" applyNumberFormat="0" applyFill="0" applyBorder="0" applyProtection="0"/>
    <xf numFmtId="0" fontId="6" fillId="0" borderId="0"/>
    <xf numFmtId="170" fontId="6" fillId="0" borderId="0" applyFont="0" applyFill="0" applyBorder="0" applyAlignment="0" applyProtection="0"/>
    <xf numFmtId="0" fontId="6" fillId="0" borderId="0"/>
    <xf numFmtId="173" fontId="6" fillId="0" borderId="0" applyFont="0" applyFill="0" applyBorder="0" applyAlignment="0" applyProtection="0"/>
    <xf numFmtId="0" fontId="5" fillId="0" borderId="0"/>
    <xf numFmtId="0" fontId="5" fillId="0" borderId="0"/>
    <xf numFmtId="170" fontId="6" fillId="0" borderId="0" applyFont="0" applyFill="0" applyBorder="0" applyAlignment="0" applyProtection="0"/>
    <xf numFmtId="0" fontId="1" fillId="0" borderId="0"/>
  </cellStyleXfs>
  <cellXfs count="115">
    <xf numFmtId="0" fontId="0" fillId="0" borderId="0" xfId="0"/>
    <xf numFmtId="0" fontId="7" fillId="0" borderId="0" xfId="0" applyFont="1"/>
    <xf numFmtId="0" fontId="8" fillId="0" borderId="0" xfId="0" applyFont="1"/>
    <xf numFmtId="0" fontId="9" fillId="0" borderId="0" xfId="0" applyFont="1" applyAlignment="1">
      <alignment horizontal="left" vertical="top"/>
    </xf>
    <xf numFmtId="0" fontId="2" fillId="0" borderId="0" xfId="11" applyFont="1"/>
    <xf numFmtId="0" fontId="10" fillId="2" borderId="0" xfId="0" applyFont="1" applyFill="1" applyAlignment="1">
      <alignment horizontal="center" wrapText="1"/>
    </xf>
    <xf numFmtId="164" fontId="11" fillId="0" borderId="0" xfId="0" applyNumberFormat="1" applyFont="1"/>
    <xf numFmtId="0" fontId="1" fillId="0" borderId="2" xfId="0" applyFont="1" applyBorder="1"/>
    <xf numFmtId="0" fontId="1" fillId="0" borderId="2" xfId="0" applyFont="1" applyBorder="1" applyAlignment="1">
      <alignment horizontal="right"/>
    </xf>
    <xf numFmtId="0" fontId="1" fillId="0" borderId="0" xfId="0" applyFont="1"/>
    <xf numFmtId="0" fontId="3" fillId="0" borderId="0" xfId="0" applyFont="1"/>
    <xf numFmtId="0" fontId="1" fillId="0" borderId="0" xfId="0" applyFont="1" applyAlignment="1">
      <alignment wrapText="1"/>
    </xf>
    <xf numFmtId="0" fontId="1" fillId="0" borderId="0" xfId="11" applyFont="1"/>
    <xf numFmtId="0" fontId="10" fillId="2" borderId="0" xfId="0" applyFont="1" applyFill="1" applyAlignment="1">
      <alignment horizontal="center"/>
    </xf>
    <xf numFmtId="0" fontId="10" fillId="2" borderId="1" xfId="0" applyFont="1" applyFill="1" applyBorder="1" applyAlignment="1">
      <alignment horizontal="center" vertical="center"/>
    </xf>
    <xf numFmtId="49" fontId="11" fillId="3" borderId="2" xfId="3" applyNumberFormat="1" applyFont="1" applyFill="1" applyBorder="1" applyAlignment="1" applyProtection="1">
      <alignment horizontal="center" vertical="center" wrapText="1"/>
    </xf>
    <xf numFmtId="49" fontId="11" fillId="3" borderId="2" xfId="3" applyNumberFormat="1" applyFont="1" applyFill="1" applyBorder="1" applyAlignment="1" applyProtection="1">
      <alignment horizontal="left" vertical="center"/>
    </xf>
    <xf numFmtId="49" fontId="11" fillId="3" borderId="2" xfId="3" applyNumberFormat="1" applyFont="1" applyFill="1" applyBorder="1" applyAlignment="1" applyProtection="1">
      <alignment horizontal="left" vertical="center" wrapText="1"/>
    </xf>
    <xf numFmtId="3" fontId="11" fillId="3" borderId="2" xfId="3" applyNumberFormat="1" applyFont="1" applyFill="1" applyBorder="1" applyAlignment="1" applyProtection="1">
      <alignment horizontal="right" vertical="center" wrapText="1"/>
    </xf>
    <xf numFmtId="4" fontId="11" fillId="3" borderId="2" xfId="3" applyNumberFormat="1" applyFont="1" applyFill="1" applyBorder="1" applyAlignment="1" applyProtection="1">
      <alignment horizontal="right" vertical="center" wrapText="1"/>
    </xf>
    <xf numFmtId="0" fontId="14" fillId="0" borderId="2" xfId="0" applyFont="1" applyBorder="1"/>
    <xf numFmtId="0" fontId="15" fillId="0" borderId="2" xfId="0" applyFont="1" applyBorder="1" applyAlignment="1">
      <alignment horizontal="left" vertical="top"/>
    </xf>
    <xf numFmtId="4" fontId="14" fillId="0" borderId="2" xfId="0" applyNumberFormat="1" applyFont="1" applyBorder="1"/>
    <xf numFmtId="10" fontId="14" fillId="0" borderId="2" xfId="2" applyNumberFormat="1" applyFont="1" applyFill="1" applyBorder="1" applyAlignment="1"/>
    <xf numFmtId="10" fontId="14" fillId="0" borderId="2" xfId="2" applyNumberFormat="1" applyFont="1" applyFill="1" applyBorder="1" applyAlignment="1">
      <alignment horizontal="right"/>
    </xf>
    <xf numFmtId="0" fontId="9" fillId="0" borderId="2" xfId="0" applyFont="1" applyBorder="1" applyAlignment="1">
      <alignment horizontal="right" vertical="top"/>
    </xf>
    <xf numFmtId="4" fontId="11" fillId="0" borderId="2" xfId="0" applyNumberFormat="1" applyFont="1" applyBorder="1" applyAlignment="1">
      <alignment horizontal="right"/>
    </xf>
    <xf numFmtId="0" fontId="9" fillId="0" borderId="2" xfId="0" applyFont="1" applyBorder="1" applyAlignment="1">
      <alignment horizontal="left" vertical="top"/>
    </xf>
    <xf numFmtId="4" fontId="9" fillId="0" borderId="2" xfId="0" applyNumberFormat="1" applyFont="1" applyBorder="1" applyAlignment="1">
      <alignment horizontal="right" vertical="top"/>
    </xf>
    <xf numFmtId="164" fontId="9" fillId="0" borderId="2" xfId="0" applyNumberFormat="1" applyFont="1" applyBorder="1" applyAlignment="1">
      <alignment horizontal="right" vertical="top"/>
    </xf>
    <xf numFmtId="10" fontId="9" fillId="0" borderId="2" xfId="2" applyNumberFormat="1" applyFont="1" applyFill="1" applyBorder="1" applyAlignment="1" applyProtection="1">
      <alignment horizontal="right" vertical="top"/>
    </xf>
    <xf numFmtId="0" fontId="11" fillId="0" borderId="2" xfId="0" applyFont="1" applyBorder="1"/>
    <xf numFmtId="4" fontId="11" fillId="0" borderId="2" xfId="0" applyNumberFormat="1" applyFont="1" applyBorder="1"/>
    <xf numFmtId="4" fontId="16" fillId="0" borderId="2" xfId="0" applyNumberFormat="1" applyFont="1" applyBorder="1" applyAlignment="1">
      <alignment horizontal="right" vertical="top"/>
    </xf>
    <xf numFmtId="164" fontId="16" fillId="0" borderId="2" xfId="0" applyNumberFormat="1" applyFont="1" applyBorder="1" applyAlignment="1">
      <alignment horizontal="right" vertical="top"/>
    </xf>
    <xf numFmtId="10" fontId="17" fillId="0" borderId="2" xfId="2" applyNumberFormat="1" applyFont="1" applyFill="1" applyBorder="1" applyAlignment="1" applyProtection="1">
      <alignment horizontal="right" vertical="top"/>
    </xf>
    <xf numFmtId="10" fontId="16" fillId="0" borderId="2" xfId="2" applyNumberFormat="1" applyFont="1" applyFill="1" applyBorder="1" applyAlignment="1" applyProtection="1">
      <alignment horizontal="right" vertical="top"/>
    </xf>
    <xf numFmtId="0" fontId="11" fillId="0" borderId="0" xfId="0" applyFont="1"/>
    <xf numFmtId="165" fontId="16" fillId="0" borderId="2" xfId="0" applyNumberFormat="1" applyFont="1" applyBorder="1" applyAlignment="1">
      <alignment horizontal="right" vertical="top"/>
    </xf>
    <xf numFmtId="166" fontId="14" fillId="0" borderId="2" xfId="0" applyNumberFormat="1" applyFont="1" applyBorder="1"/>
    <xf numFmtId="0" fontId="14" fillId="0" borderId="2" xfId="0" applyFont="1" applyBorder="1" applyAlignment="1">
      <alignment horizontal="right"/>
    </xf>
    <xf numFmtId="4" fontId="9" fillId="0" borderId="2" xfId="0" applyNumberFormat="1" applyFont="1" applyBorder="1" applyAlignment="1">
      <alignment horizontal="left" vertical="top"/>
    </xf>
    <xf numFmtId="166" fontId="16" fillId="0" borderId="2" xfId="0" applyNumberFormat="1" applyFont="1" applyBorder="1" applyAlignment="1">
      <alignment horizontal="right" vertical="top"/>
    </xf>
    <xf numFmtId="4" fontId="15" fillId="0" borderId="2" xfId="0" applyNumberFormat="1" applyFont="1" applyBorder="1" applyAlignment="1">
      <alignment horizontal="right" vertical="top"/>
    </xf>
    <xf numFmtId="164" fontId="17" fillId="0" borderId="2" xfId="0" applyNumberFormat="1" applyFont="1" applyBorder="1" applyAlignment="1">
      <alignment horizontal="right" vertical="top"/>
    </xf>
    <xf numFmtId="0" fontId="9" fillId="0" borderId="2" xfId="0" applyFont="1" applyBorder="1" applyAlignment="1">
      <alignment horizontal="left" vertical="top" wrapText="1"/>
    </xf>
    <xf numFmtId="0" fontId="9" fillId="0" borderId="2" xfId="0" applyFont="1" applyBorder="1" applyAlignment="1">
      <alignment horizontal="right" vertical="top" wrapText="1"/>
    </xf>
    <xf numFmtId="164" fontId="9" fillId="0" borderId="2" xfId="0" applyNumberFormat="1" applyFont="1" applyBorder="1" applyAlignment="1">
      <alignment horizontal="right" vertical="top" wrapText="1"/>
    </xf>
    <xf numFmtId="164" fontId="17" fillId="0" borderId="2" xfId="0" applyNumberFormat="1" applyFont="1" applyBorder="1" applyAlignment="1">
      <alignment horizontal="right"/>
    </xf>
    <xf numFmtId="164" fontId="16" fillId="0" borderId="2" xfId="0" applyNumberFormat="1" applyFont="1" applyBorder="1" applyAlignment="1">
      <alignment horizontal="right"/>
    </xf>
    <xf numFmtId="0" fontId="16" fillId="0" borderId="2" xfId="0" applyFont="1" applyBorder="1" applyAlignment="1">
      <alignment horizontal="left" vertical="top" wrapText="1"/>
    </xf>
    <xf numFmtId="167" fontId="16" fillId="0" borderId="2" xfId="0" applyNumberFormat="1" applyFont="1" applyBorder="1" applyAlignment="1">
      <alignment horizontal="right" vertical="top"/>
    </xf>
    <xf numFmtId="168" fontId="9" fillId="0" borderId="2" xfId="0" applyNumberFormat="1" applyFont="1" applyBorder="1" applyAlignment="1">
      <alignment horizontal="right" vertical="top" wrapText="1"/>
    </xf>
    <xf numFmtId="166" fontId="9" fillId="0" borderId="2" xfId="0" applyNumberFormat="1" applyFont="1" applyBorder="1" applyAlignment="1">
      <alignment horizontal="right" vertical="top" wrapText="1"/>
    </xf>
    <xf numFmtId="4" fontId="11" fillId="0" borderId="2" xfId="0" applyNumberFormat="1" applyFont="1" applyBorder="1" applyAlignment="1">
      <alignment horizontal="right" vertical="top"/>
    </xf>
    <xf numFmtId="4" fontId="17" fillId="0" borderId="2" xfId="0" applyNumberFormat="1" applyFont="1" applyBorder="1" applyAlignment="1">
      <alignment horizontal="right" vertical="top"/>
    </xf>
    <xf numFmtId="0" fontId="16" fillId="0" borderId="2" xfId="0" applyFont="1" applyBorder="1" applyAlignment="1">
      <alignment wrapText="1"/>
    </xf>
    <xf numFmtId="169" fontId="17" fillId="0" borderId="2" xfId="0" applyNumberFormat="1" applyFont="1" applyBorder="1" applyAlignment="1">
      <alignment horizontal="right" vertical="top"/>
    </xf>
    <xf numFmtId="169" fontId="16" fillId="0" borderId="2" xfId="0" applyNumberFormat="1" applyFont="1" applyBorder="1" applyAlignment="1">
      <alignment horizontal="right" vertical="top"/>
    </xf>
    <xf numFmtId="0" fontId="18" fillId="0" borderId="0" xfId="0" applyFont="1"/>
    <xf numFmtId="0" fontId="16" fillId="0" borderId="0" xfId="4" applyFont="1"/>
    <xf numFmtId="0" fontId="17" fillId="0" borderId="0" xfId="0" applyFont="1"/>
    <xf numFmtId="170" fontId="16" fillId="0" borderId="0" xfId="5" applyFont="1" applyFill="1" applyBorder="1" applyAlignment="1">
      <alignment horizontal="right"/>
    </xf>
    <xf numFmtId="0" fontId="17" fillId="0" borderId="0" xfId="0" applyFont="1" applyAlignment="1">
      <alignment horizontal="right"/>
    </xf>
    <xf numFmtId="4" fontId="17" fillId="0" borderId="0" xfId="0" applyNumberFormat="1" applyFont="1"/>
    <xf numFmtId="0" fontId="16" fillId="0" borderId="0" xfId="0" applyFont="1"/>
    <xf numFmtId="0" fontId="17" fillId="0" borderId="0" xfId="6" applyFont="1" applyAlignment="1">
      <alignment horizontal="left" vertical="top"/>
    </xf>
    <xf numFmtId="0" fontId="17" fillId="0" borderId="0" xfId="6" applyFont="1" applyAlignment="1">
      <alignment horizontal="left" vertical="top" wrapText="1"/>
    </xf>
    <xf numFmtId="4" fontId="17" fillId="0" borderId="0" xfId="6" applyNumberFormat="1" applyFont="1" applyAlignment="1">
      <alignment horizontal="left" vertical="top" wrapText="1"/>
    </xf>
    <xf numFmtId="0" fontId="16" fillId="0" borderId="0" xfId="0" applyFont="1" applyAlignment="1">
      <alignment horizontal="center"/>
    </xf>
    <xf numFmtId="0" fontId="17" fillId="0" borderId="0" xfId="0" applyFont="1" applyAlignment="1">
      <alignment horizontal="center"/>
    </xf>
    <xf numFmtId="171" fontId="17" fillId="0" borderId="0" xfId="0" applyNumberFormat="1" applyFont="1" applyAlignment="1">
      <alignment horizontal="center"/>
    </xf>
    <xf numFmtId="0" fontId="16" fillId="0" borderId="0" xfId="0" applyFont="1" applyAlignment="1">
      <alignment wrapText="1"/>
    </xf>
    <xf numFmtId="0" fontId="17" fillId="0" borderId="0" xfId="0" applyFont="1" applyAlignment="1">
      <alignment horizontal="left"/>
    </xf>
    <xf numFmtId="172" fontId="17" fillId="0" borderId="0" xfId="5" applyNumberFormat="1" applyFont="1" applyFill="1" applyAlignment="1"/>
    <xf numFmtId="172" fontId="17" fillId="0" borderId="0" xfId="5" applyNumberFormat="1" applyFont="1" applyFill="1" applyBorder="1" applyAlignment="1"/>
    <xf numFmtId="172" fontId="17" fillId="0" borderId="0" xfId="7" applyNumberFormat="1" applyFont="1" applyFill="1" applyBorder="1" applyAlignment="1"/>
    <xf numFmtId="0" fontId="14" fillId="0" borderId="0" xfId="8" applyFont="1"/>
    <xf numFmtId="0" fontId="16" fillId="0" borderId="0" xfId="0" applyFont="1" applyAlignment="1">
      <alignment horizontal="left" wrapText="1"/>
    </xf>
    <xf numFmtId="172" fontId="16" fillId="0" borderId="0" xfId="5" applyNumberFormat="1" applyFont="1" applyFill="1" applyBorder="1" applyAlignment="1">
      <alignment horizontal="right"/>
    </xf>
    <xf numFmtId="0" fontId="17" fillId="0" borderId="0" xfId="6" applyFont="1" applyAlignment="1">
      <alignment horizontal="left" vertical="top" wrapText="1"/>
    </xf>
    <xf numFmtId="0" fontId="14" fillId="0" borderId="0" xfId="9" applyFont="1" applyAlignment="1">
      <alignment horizontal="left" vertical="top"/>
    </xf>
    <xf numFmtId="0" fontId="19" fillId="0" borderId="0" xfId="9" applyFont="1" applyAlignment="1">
      <alignment horizontal="left" vertical="top" wrapText="1"/>
    </xf>
    <xf numFmtId="0" fontId="16" fillId="0" borderId="0" xfId="6" applyFont="1"/>
    <xf numFmtId="49" fontId="10" fillId="4" borderId="2" xfId="3" applyNumberFormat="1" applyFont="1" applyFill="1" applyBorder="1" applyAlignment="1" applyProtection="1">
      <alignment horizontal="center" vertical="center"/>
    </xf>
    <xf numFmtId="49" fontId="10" fillId="4" borderId="2" xfId="3" applyNumberFormat="1" applyFont="1" applyFill="1" applyBorder="1" applyAlignment="1" applyProtection="1">
      <alignment horizontal="center" vertical="center" wrapText="1"/>
    </xf>
    <xf numFmtId="3" fontId="10" fillId="4" borderId="2" xfId="3" applyNumberFormat="1" applyFont="1" applyFill="1" applyBorder="1" applyAlignment="1" applyProtection="1">
      <alignment horizontal="center" wrapText="1"/>
    </xf>
    <xf numFmtId="3" fontId="10" fillId="4" borderId="2" xfId="3" applyNumberFormat="1" applyFont="1" applyFill="1" applyBorder="1" applyAlignment="1" applyProtection="1">
      <alignment horizontal="center" vertical="center" wrapText="1"/>
    </xf>
    <xf numFmtId="0" fontId="9" fillId="0" borderId="2" xfId="0" applyFont="1" applyBorder="1" applyAlignment="1">
      <alignment horizontal="center" vertical="top"/>
    </xf>
    <xf numFmtId="4" fontId="9" fillId="0" borderId="2" xfId="0" applyNumberFormat="1" applyFont="1" applyBorder="1" applyAlignment="1">
      <alignment horizontal="center" vertical="top" wrapText="1"/>
    </xf>
    <xf numFmtId="2" fontId="9" fillId="0" borderId="2" xfId="0" applyNumberFormat="1" applyFont="1" applyBorder="1" applyAlignment="1">
      <alignment horizontal="center" vertical="top" wrapText="1"/>
    </xf>
    <xf numFmtId="3" fontId="10" fillId="4" borderId="2" xfId="3" applyNumberFormat="1" applyFont="1" applyFill="1" applyBorder="1" applyAlignment="1" applyProtection="1">
      <alignment horizontal="right" vertical="center" wrapText="1"/>
    </xf>
    <xf numFmtId="170" fontId="9" fillId="0" borderId="2" xfId="1" applyFont="1" applyFill="1" applyBorder="1" applyAlignment="1">
      <alignment horizontal="center" vertical="top"/>
    </xf>
    <xf numFmtId="0" fontId="17" fillId="0" borderId="0" xfId="6" applyFont="1"/>
    <xf numFmtId="0" fontId="17" fillId="0" borderId="0" xfId="4" applyFont="1" applyAlignment="1">
      <alignment horizontal="left" wrapText="1"/>
    </xf>
    <xf numFmtId="4" fontId="17" fillId="0" borderId="0" xfId="10" applyNumberFormat="1" applyFont="1" applyFill="1"/>
    <xf numFmtId="0" fontId="17" fillId="0" borderId="0" xfId="4" applyFont="1"/>
    <xf numFmtId="0" fontId="17" fillId="0" borderId="0" xfId="4" applyFont="1" applyAlignment="1">
      <alignment wrapText="1"/>
    </xf>
    <xf numFmtId="172" fontId="17" fillId="0" borderId="0" xfId="10" applyNumberFormat="1" applyFont="1" applyFill="1"/>
    <xf numFmtId="0" fontId="16" fillId="0" borderId="3" xfId="4" applyFont="1" applyBorder="1" applyAlignment="1">
      <alignment horizontal="left"/>
    </xf>
    <xf numFmtId="0" fontId="16" fillId="0" borderId="3" xfId="4" applyFont="1" applyBorder="1" applyAlignment="1">
      <alignment horizontal="left"/>
    </xf>
    <xf numFmtId="170" fontId="17" fillId="0" borderId="0" xfId="4" applyNumberFormat="1" applyFont="1"/>
    <xf numFmtId="0" fontId="16" fillId="0" borderId="2" xfId="4" applyFont="1" applyBorder="1"/>
    <xf numFmtId="0" fontId="17" fillId="0" borderId="4" xfId="4" applyFont="1" applyBorder="1" applyAlignment="1">
      <alignment horizontal="left"/>
    </xf>
    <xf numFmtId="0" fontId="17" fillId="0" borderId="5" xfId="4" applyFont="1" applyBorder="1" applyAlignment="1">
      <alignment horizontal="left"/>
    </xf>
    <xf numFmtId="0" fontId="17" fillId="0" borderId="6" xfId="4" applyFont="1" applyBorder="1" applyAlignment="1">
      <alignment horizontal="left"/>
    </xf>
    <xf numFmtId="172" fontId="17" fillId="0" borderId="2" xfId="5" applyNumberFormat="1" applyFont="1" applyFill="1" applyBorder="1"/>
    <xf numFmtId="4" fontId="17" fillId="0" borderId="2" xfId="4" applyNumberFormat="1" applyFont="1" applyBorder="1"/>
    <xf numFmtId="170" fontId="17" fillId="0" borderId="2" xfId="5" applyFont="1" applyFill="1" applyBorder="1"/>
    <xf numFmtId="0" fontId="16" fillId="0" borderId="4" xfId="4" applyFont="1" applyBorder="1"/>
    <xf numFmtId="0" fontId="16" fillId="0" borderId="5" xfId="4" applyFont="1" applyBorder="1"/>
    <xf numFmtId="0" fontId="16" fillId="0" borderId="6" xfId="4" applyFont="1" applyBorder="1"/>
    <xf numFmtId="0" fontId="17" fillId="0" borderId="2" xfId="4" applyFont="1" applyBorder="1"/>
    <xf numFmtId="170" fontId="17" fillId="0" borderId="2" xfId="1" applyFont="1" applyFill="1" applyBorder="1" applyAlignment="1">
      <alignment horizontal="center" vertical="top"/>
    </xf>
    <xf numFmtId="0" fontId="16" fillId="0" borderId="3" xfId="4" applyFont="1" applyBorder="1" applyAlignment="1">
      <alignment horizontal="left" vertical="top"/>
    </xf>
  </cellXfs>
  <cellStyles count="12">
    <cellStyle name="Comma" xfId="1" builtinId="3"/>
    <cellStyle name="Comma 3" xfId="5" xr:uid="{21A4C2EF-C9FB-4B97-B6BA-AF89A3F8D9B2}"/>
    <cellStyle name="Comma 4" xfId="10" xr:uid="{02532DCB-0C64-4D78-BA2E-1DFB8279CBFA}"/>
    <cellStyle name="Comma_Template Portfolio Disclosure - 30.09.2013" xfId="7" xr:uid="{941C66BD-2F96-43A1-B27D-F3015F16E85F}"/>
    <cellStyle name="Normal" xfId="0" builtinId="0"/>
    <cellStyle name="Normal 2 2 2" xfId="4" xr:uid="{E680D99C-B9AD-4EFC-8C28-DEC1271AE76F}"/>
    <cellStyle name="Normal 2 3 2" xfId="6" xr:uid="{8F844DF1-EEAD-46AD-993E-8299ACC23274}"/>
    <cellStyle name="Normal 3" xfId="3" xr:uid="{128050C6-758F-4862-B236-18C912F7B075}"/>
    <cellStyle name="Normal 4" xfId="11" xr:uid="{2DC682C9-0E46-40B0-93B7-D505E3FBA15C}"/>
    <cellStyle name="Normal 4_IF" xfId="8" xr:uid="{9D3B58B6-AC51-41BF-8DDF-70F539C6C194}"/>
    <cellStyle name="Normal 4_LD" xfId="9" xr:uid="{587D5CE7-1D0B-4B71-B312-7D581FC5C92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31750</xdr:colOff>
      <xdr:row>254</xdr:row>
      <xdr:rowOff>6350</xdr:rowOff>
    </xdr:from>
    <xdr:to>
      <xdr:col>1</xdr:col>
      <xdr:colOff>3022600</xdr:colOff>
      <xdr:row>262</xdr:row>
      <xdr:rowOff>44450</xdr:rowOff>
    </xdr:to>
    <xdr:pic>
      <xdr:nvPicPr>
        <xdr:cNvPr id="2" name="Picture 1" descr="A colorful scale with text&#10;&#10;AI-generated content may be incorrect.">
          <a:extLst>
            <a:ext uri="{FF2B5EF4-FFF2-40B4-BE49-F238E27FC236}">
              <a16:creationId xmlns:a16="http://schemas.microsoft.com/office/drawing/2014/main" id="{AD65E8C5-ECB8-4D98-A026-708F1F27395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53086000"/>
          <a:ext cx="2990850" cy="151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253</xdr:row>
      <xdr:rowOff>177800</xdr:rowOff>
    </xdr:from>
    <xdr:to>
      <xdr:col>3</xdr:col>
      <xdr:colOff>254000</xdr:colOff>
      <xdr:row>262</xdr:row>
      <xdr:rowOff>38100</xdr:rowOff>
    </xdr:to>
    <xdr:pic>
      <xdr:nvPicPr>
        <xdr:cNvPr id="3" name="Picture 2" descr="A colorful scale with text&#10;&#10;AI-generated content may be incorrect.">
          <a:extLst>
            <a:ext uri="{FF2B5EF4-FFF2-40B4-BE49-F238E27FC236}">
              <a16:creationId xmlns:a16="http://schemas.microsoft.com/office/drawing/2014/main" id="{27F2F653-2539-499D-83E4-E63EC5B45C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86300" y="53073300"/>
          <a:ext cx="2603500" cy="151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MONTH-END_PORTFOLIO_V3_REPORT_Sep%202026.xls" TargetMode="External"/><Relationship Id="rId2" Type="http://schemas.openxmlformats.org/officeDocument/2006/relationships/externalLinkPath" Target="file:///O:\2.%20Operations%20FY%202026-27\PORTFOLIOS\MONTHLY\Sep%202026\MONTH-END_PORTFOLIO_V3_REPORT_Sep%202026.xls" TargetMode="External"/><Relationship Id="rId1" Type="http://schemas.openxmlformats.org/officeDocument/2006/relationships/externalLinkPath" Target="/2.%20Operations%20FY%202026-27/PORTFOLIOS/MONTHLY/Sep%202026/MONTH-END_PORTFOLIO_V3_REPORT_Sep%20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ED HOLDING STATEMENT"/>
      <sheetName val="WCAR"/>
      <sheetName val="WCBA"/>
      <sheetName val="WCET"/>
      <sheetName val="WCFL"/>
      <sheetName val="WCGE"/>
      <sheetName val="WCGF"/>
      <sheetName val="WCLM"/>
      <sheetName val="WCLQ-DNU"/>
      <sheetName val="WCMA"/>
      <sheetName val="WCMC"/>
      <sheetName val="WCML"/>
      <sheetName val="WCSC"/>
      <sheetName val="XDO_META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F1989-7E1B-4E0C-BAFF-6B0FF60A495A}">
  <sheetPr>
    <pageSetUpPr autoPageBreaks="0"/>
  </sheetPr>
  <dimension ref="A1:J280"/>
  <sheetViews>
    <sheetView tabSelected="1" zoomScale="85" zoomScaleNormal="85" workbookViewId="0">
      <selection sqref="A1:I1"/>
    </sheetView>
  </sheetViews>
  <sheetFormatPr defaultRowHeight="14.5" x14ac:dyDescent="0.35"/>
  <cols>
    <col min="1" max="1" width="19.1796875" customWidth="1"/>
    <col min="2" max="2" width="47.453125" customWidth="1"/>
    <col min="3" max="3" width="34.08984375" customWidth="1"/>
    <col min="4" max="4" width="19.6328125" bestFit="1" customWidth="1"/>
    <col min="5" max="5" width="16.453125" bestFit="1" customWidth="1"/>
    <col min="6" max="6" width="13.54296875" customWidth="1"/>
    <col min="7" max="8" width="16.81640625" customWidth="1"/>
    <col min="9" max="9" width="12.453125" customWidth="1"/>
    <col min="10" max="10" width="8.81640625" customWidth="1"/>
    <col min="248" max="248" width="19.1796875" customWidth="1"/>
    <col min="249" max="249" width="47.453125" customWidth="1"/>
    <col min="250" max="250" width="23.1796875" customWidth="1"/>
    <col min="251" max="251" width="19.6328125" bestFit="1" customWidth="1"/>
    <col min="252" max="252" width="16.453125" bestFit="1" customWidth="1"/>
    <col min="253" max="253" width="13.54296875" customWidth="1"/>
    <col min="254" max="255" width="16.81640625" customWidth="1"/>
    <col min="256" max="256" width="12.453125" customWidth="1"/>
    <col min="257" max="257" width="8.81640625" customWidth="1"/>
    <col min="260" max="260" width="10.54296875" bestFit="1" customWidth="1"/>
    <col min="504" max="504" width="19.1796875" customWidth="1"/>
    <col min="505" max="505" width="47.453125" customWidth="1"/>
    <col min="506" max="506" width="23.1796875" customWidth="1"/>
    <col min="507" max="507" width="19.6328125" bestFit="1" customWidth="1"/>
    <col min="508" max="508" width="16.453125" bestFit="1" customWidth="1"/>
    <col min="509" max="509" width="13.54296875" customWidth="1"/>
    <col min="510" max="511" width="16.81640625" customWidth="1"/>
    <col min="512" max="512" width="12.453125" customWidth="1"/>
    <col min="513" max="513" width="8.81640625" customWidth="1"/>
    <col min="516" max="516" width="10.54296875" bestFit="1" customWidth="1"/>
    <col min="760" max="760" width="19.1796875" customWidth="1"/>
    <col min="761" max="761" width="47.453125" customWidth="1"/>
    <col min="762" max="762" width="23.1796875" customWidth="1"/>
    <col min="763" max="763" width="19.6328125" bestFit="1" customWidth="1"/>
    <col min="764" max="764" width="16.453125" bestFit="1" customWidth="1"/>
    <col min="765" max="765" width="13.54296875" customWidth="1"/>
    <col min="766" max="767" width="16.81640625" customWidth="1"/>
    <col min="768" max="768" width="12.453125" customWidth="1"/>
    <col min="769" max="769" width="8.81640625" customWidth="1"/>
    <col min="772" max="772" width="10.54296875" bestFit="1" customWidth="1"/>
    <col min="1016" max="1016" width="19.1796875" customWidth="1"/>
    <col min="1017" max="1017" width="47.453125" customWidth="1"/>
    <col min="1018" max="1018" width="23.1796875" customWidth="1"/>
    <col min="1019" max="1019" width="19.6328125" bestFit="1" customWidth="1"/>
    <col min="1020" max="1020" width="16.453125" bestFit="1" customWidth="1"/>
    <col min="1021" max="1021" width="13.54296875" customWidth="1"/>
    <col min="1022" max="1023" width="16.81640625" customWidth="1"/>
    <col min="1024" max="1024" width="12.453125" customWidth="1"/>
    <col min="1025" max="1025" width="8.81640625" customWidth="1"/>
    <col min="1028" max="1028" width="10.54296875" bestFit="1" customWidth="1"/>
    <col min="1272" max="1272" width="19.1796875" customWidth="1"/>
    <col min="1273" max="1273" width="47.453125" customWidth="1"/>
    <col min="1274" max="1274" width="23.1796875" customWidth="1"/>
    <col min="1275" max="1275" width="19.6328125" bestFit="1" customWidth="1"/>
    <col min="1276" max="1276" width="16.453125" bestFit="1" customWidth="1"/>
    <col min="1277" max="1277" width="13.54296875" customWidth="1"/>
    <col min="1278" max="1279" width="16.81640625" customWidth="1"/>
    <col min="1280" max="1280" width="12.453125" customWidth="1"/>
    <col min="1281" max="1281" width="8.81640625" customWidth="1"/>
    <col min="1284" max="1284" width="10.54296875" bestFit="1" customWidth="1"/>
    <col min="1528" max="1528" width="19.1796875" customWidth="1"/>
    <col min="1529" max="1529" width="47.453125" customWidth="1"/>
    <col min="1530" max="1530" width="23.1796875" customWidth="1"/>
    <col min="1531" max="1531" width="19.6328125" bestFit="1" customWidth="1"/>
    <col min="1532" max="1532" width="16.453125" bestFit="1" customWidth="1"/>
    <col min="1533" max="1533" width="13.54296875" customWidth="1"/>
    <col min="1534" max="1535" width="16.81640625" customWidth="1"/>
    <col min="1536" max="1536" width="12.453125" customWidth="1"/>
    <col min="1537" max="1537" width="8.81640625" customWidth="1"/>
    <col min="1540" max="1540" width="10.54296875" bestFit="1" customWidth="1"/>
    <col min="1784" max="1784" width="19.1796875" customWidth="1"/>
    <col min="1785" max="1785" width="47.453125" customWidth="1"/>
    <col min="1786" max="1786" width="23.1796875" customWidth="1"/>
    <col min="1787" max="1787" width="19.6328125" bestFit="1" customWidth="1"/>
    <col min="1788" max="1788" width="16.453125" bestFit="1" customWidth="1"/>
    <col min="1789" max="1789" width="13.54296875" customWidth="1"/>
    <col min="1790" max="1791" width="16.81640625" customWidth="1"/>
    <col min="1792" max="1792" width="12.453125" customWidth="1"/>
    <col min="1793" max="1793" width="8.81640625" customWidth="1"/>
    <col min="1796" max="1796" width="10.54296875" bestFit="1" customWidth="1"/>
    <col min="2040" max="2040" width="19.1796875" customWidth="1"/>
    <col min="2041" max="2041" width="47.453125" customWidth="1"/>
    <col min="2042" max="2042" width="23.1796875" customWidth="1"/>
    <col min="2043" max="2043" width="19.6328125" bestFit="1" customWidth="1"/>
    <col min="2044" max="2044" width="16.453125" bestFit="1" customWidth="1"/>
    <col min="2045" max="2045" width="13.54296875" customWidth="1"/>
    <col min="2046" max="2047" width="16.81640625" customWidth="1"/>
    <col min="2048" max="2048" width="12.453125" customWidth="1"/>
    <col min="2049" max="2049" width="8.81640625" customWidth="1"/>
    <col min="2052" max="2052" width="10.54296875" bestFit="1" customWidth="1"/>
    <col min="2296" max="2296" width="19.1796875" customWidth="1"/>
    <col min="2297" max="2297" width="47.453125" customWidth="1"/>
    <col min="2298" max="2298" width="23.1796875" customWidth="1"/>
    <col min="2299" max="2299" width="19.6328125" bestFit="1" customWidth="1"/>
    <col min="2300" max="2300" width="16.453125" bestFit="1" customWidth="1"/>
    <col min="2301" max="2301" width="13.54296875" customWidth="1"/>
    <col min="2302" max="2303" width="16.81640625" customWidth="1"/>
    <col min="2304" max="2304" width="12.453125" customWidth="1"/>
    <col min="2305" max="2305" width="8.81640625" customWidth="1"/>
    <col min="2308" max="2308" width="10.54296875" bestFit="1" customWidth="1"/>
    <col min="2552" max="2552" width="19.1796875" customWidth="1"/>
    <col min="2553" max="2553" width="47.453125" customWidth="1"/>
    <col min="2554" max="2554" width="23.1796875" customWidth="1"/>
    <col min="2555" max="2555" width="19.6328125" bestFit="1" customWidth="1"/>
    <col min="2556" max="2556" width="16.453125" bestFit="1" customWidth="1"/>
    <col min="2557" max="2557" width="13.54296875" customWidth="1"/>
    <col min="2558" max="2559" width="16.81640625" customWidth="1"/>
    <col min="2560" max="2560" width="12.453125" customWidth="1"/>
    <col min="2561" max="2561" width="8.81640625" customWidth="1"/>
    <col min="2564" max="2564" width="10.54296875" bestFit="1" customWidth="1"/>
    <col min="2808" max="2808" width="19.1796875" customWidth="1"/>
    <col min="2809" max="2809" width="47.453125" customWidth="1"/>
    <col min="2810" max="2810" width="23.1796875" customWidth="1"/>
    <col min="2811" max="2811" width="19.6328125" bestFit="1" customWidth="1"/>
    <col min="2812" max="2812" width="16.453125" bestFit="1" customWidth="1"/>
    <col min="2813" max="2813" width="13.54296875" customWidth="1"/>
    <col min="2814" max="2815" width="16.81640625" customWidth="1"/>
    <col min="2816" max="2816" width="12.453125" customWidth="1"/>
    <col min="2817" max="2817" width="8.81640625" customWidth="1"/>
    <col min="2820" max="2820" width="10.54296875" bestFit="1" customWidth="1"/>
    <col min="3064" max="3064" width="19.1796875" customWidth="1"/>
    <col min="3065" max="3065" width="47.453125" customWidth="1"/>
    <col min="3066" max="3066" width="23.1796875" customWidth="1"/>
    <col min="3067" max="3067" width="19.6328125" bestFit="1" customWidth="1"/>
    <col min="3068" max="3068" width="16.453125" bestFit="1" customWidth="1"/>
    <col min="3069" max="3069" width="13.54296875" customWidth="1"/>
    <col min="3070" max="3071" width="16.81640625" customWidth="1"/>
    <col min="3072" max="3072" width="12.453125" customWidth="1"/>
    <col min="3073" max="3073" width="8.81640625" customWidth="1"/>
    <col min="3076" max="3076" width="10.54296875" bestFit="1" customWidth="1"/>
    <col min="3320" max="3320" width="19.1796875" customWidth="1"/>
    <col min="3321" max="3321" width="47.453125" customWidth="1"/>
    <col min="3322" max="3322" width="23.1796875" customWidth="1"/>
    <col min="3323" max="3323" width="19.6328125" bestFit="1" customWidth="1"/>
    <col min="3324" max="3324" width="16.453125" bestFit="1" customWidth="1"/>
    <col min="3325" max="3325" width="13.54296875" customWidth="1"/>
    <col min="3326" max="3327" width="16.81640625" customWidth="1"/>
    <col min="3328" max="3328" width="12.453125" customWidth="1"/>
    <col min="3329" max="3329" width="8.81640625" customWidth="1"/>
    <col min="3332" max="3332" width="10.54296875" bestFit="1" customWidth="1"/>
    <col min="3576" max="3576" width="19.1796875" customWidth="1"/>
    <col min="3577" max="3577" width="47.453125" customWidth="1"/>
    <col min="3578" max="3578" width="23.1796875" customWidth="1"/>
    <col min="3579" max="3579" width="19.6328125" bestFit="1" customWidth="1"/>
    <col min="3580" max="3580" width="16.453125" bestFit="1" customWidth="1"/>
    <col min="3581" max="3581" width="13.54296875" customWidth="1"/>
    <col min="3582" max="3583" width="16.81640625" customWidth="1"/>
    <col min="3584" max="3584" width="12.453125" customWidth="1"/>
    <col min="3585" max="3585" width="8.81640625" customWidth="1"/>
    <col min="3588" max="3588" width="10.54296875" bestFit="1" customWidth="1"/>
    <col min="3832" max="3832" width="19.1796875" customWidth="1"/>
    <col min="3833" max="3833" width="47.453125" customWidth="1"/>
    <col min="3834" max="3834" width="23.1796875" customWidth="1"/>
    <col min="3835" max="3835" width="19.6328125" bestFit="1" customWidth="1"/>
    <col min="3836" max="3836" width="16.453125" bestFit="1" customWidth="1"/>
    <col min="3837" max="3837" width="13.54296875" customWidth="1"/>
    <col min="3838" max="3839" width="16.81640625" customWidth="1"/>
    <col min="3840" max="3840" width="12.453125" customWidth="1"/>
    <col min="3841" max="3841" width="8.81640625" customWidth="1"/>
    <col min="3844" max="3844" width="10.54296875" bestFit="1" customWidth="1"/>
    <col min="4088" max="4088" width="19.1796875" customWidth="1"/>
    <col min="4089" max="4089" width="47.453125" customWidth="1"/>
    <col min="4090" max="4090" width="23.1796875" customWidth="1"/>
    <col min="4091" max="4091" width="19.6328125" bestFit="1" customWidth="1"/>
    <col min="4092" max="4092" width="16.453125" bestFit="1" customWidth="1"/>
    <col min="4093" max="4093" width="13.54296875" customWidth="1"/>
    <col min="4094" max="4095" width="16.81640625" customWidth="1"/>
    <col min="4096" max="4096" width="12.453125" customWidth="1"/>
    <col min="4097" max="4097" width="8.81640625" customWidth="1"/>
    <col min="4100" max="4100" width="10.54296875" bestFit="1" customWidth="1"/>
    <col min="4344" max="4344" width="19.1796875" customWidth="1"/>
    <col min="4345" max="4345" width="47.453125" customWidth="1"/>
    <col min="4346" max="4346" width="23.1796875" customWidth="1"/>
    <col min="4347" max="4347" width="19.6328125" bestFit="1" customWidth="1"/>
    <col min="4348" max="4348" width="16.453125" bestFit="1" customWidth="1"/>
    <col min="4349" max="4349" width="13.54296875" customWidth="1"/>
    <col min="4350" max="4351" width="16.81640625" customWidth="1"/>
    <col min="4352" max="4352" width="12.453125" customWidth="1"/>
    <col min="4353" max="4353" width="8.81640625" customWidth="1"/>
    <col min="4356" max="4356" width="10.54296875" bestFit="1" customWidth="1"/>
    <col min="4600" max="4600" width="19.1796875" customWidth="1"/>
    <col min="4601" max="4601" width="47.453125" customWidth="1"/>
    <col min="4602" max="4602" width="23.1796875" customWidth="1"/>
    <col min="4603" max="4603" width="19.6328125" bestFit="1" customWidth="1"/>
    <col min="4604" max="4604" width="16.453125" bestFit="1" customWidth="1"/>
    <col min="4605" max="4605" width="13.54296875" customWidth="1"/>
    <col min="4606" max="4607" width="16.81640625" customWidth="1"/>
    <col min="4608" max="4608" width="12.453125" customWidth="1"/>
    <col min="4609" max="4609" width="8.81640625" customWidth="1"/>
    <col min="4612" max="4612" width="10.54296875" bestFit="1" customWidth="1"/>
    <col min="4856" max="4856" width="19.1796875" customWidth="1"/>
    <col min="4857" max="4857" width="47.453125" customWidth="1"/>
    <col min="4858" max="4858" width="23.1796875" customWidth="1"/>
    <col min="4859" max="4859" width="19.6328125" bestFit="1" customWidth="1"/>
    <col min="4860" max="4860" width="16.453125" bestFit="1" customWidth="1"/>
    <col min="4861" max="4861" width="13.54296875" customWidth="1"/>
    <col min="4862" max="4863" width="16.81640625" customWidth="1"/>
    <col min="4864" max="4864" width="12.453125" customWidth="1"/>
    <col min="4865" max="4865" width="8.81640625" customWidth="1"/>
    <col min="4868" max="4868" width="10.54296875" bestFit="1" customWidth="1"/>
    <col min="5112" max="5112" width="19.1796875" customWidth="1"/>
    <col min="5113" max="5113" width="47.453125" customWidth="1"/>
    <col min="5114" max="5114" width="23.1796875" customWidth="1"/>
    <col min="5115" max="5115" width="19.6328125" bestFit="1" customWidth="1"/>
    <col min="5116" max="5116" width="16.453125" bestFit="1" customWidth="1"/>
    <col min="5117" max="5117" width="13.54296875" customWidth="1"/>
    <col min="5118" max="5119" width="16.81640625" customWidth="1"/>
    <col min="5120" max="5120" width="12.453125" customWidth="1"/>
    <col min="5121" max="5121" width="8.81640625" customWidth="1"/>
    <col min="5124" max="5124" width="10.54296875" bestFit="1" customWidth="1"/>
    <col min="5368" max="5368" width="19.1796875" customWidth="1"/>
    <col min="5369" max="5369" width="47.453125" customWidth="1"/>
    <col min="5370" max="5370" width="23.1796875" customWidth="1"/>
    <col min="5371" max="5371" width="19.6328125" bestFit="1" customWidth="1"/>
    <col min="5372" max="5372" width="16.453125" bestFit="1" customWidth="1"/>
    <col min="5373" max="5373" width="13.54296875" customWidth="1"/>
    <col min="5374" max="5375" width="16.81640625" customWidth="1"/>
    <col min="5376" max="5376" width="12.453125" customWidth="1"/>
    <col min="5377" max="5377" width="8.81640625" customWidth="1"/>
    <col min="5380" max="5380" width="10.54296875" bestFit="1" customWidth="1"/>
    <col min="5624" max="5624" width="19.1796875" customWidth="1"/>
    <col min="5625" max="5625" width="47.453125" customWidth="1"/>
    <col min="5626" max="5626" width="23.1796875" customWidth="1"/>
    <col min="5627" max="5627" width="19.6328125" bestFit="1" customWidth="1"/>
    <col min="5628" max="5628" width="16.453125" bestFit="1" customWidth="1"/>
    <col min="5629" max="5629" width="13.54296875" customWidth="1"/>
    <col min="5630" max="5631" width="16.81640625" customWidth="1"/>
    <col min="5632" max="5632" width="12.453125" customWidth="1"/>
    <col min="5633" max="5633" width="8.81640625" customWidth="1"/>
    <col min="5636" max="5636" width="10.54296875" bestFit="1" customWidth="1"/>
    <col min="5880" max="5880" width="19.1796875" customWidth="1"/>
    <col min="5881" max="5881" width="47.453125" customWidth="1"/>
    <col min="5882" max="5882" width="23.1796875" customWidth="1"/>
    <col min="5883" max="5883" width="19.6328125" bestFit="1" customWidth="1"/>
    <col min="5884" max="5884" width="16.453125" bestFit="1" customWidth="1"/>
    <col min="5885" max="5885" width="13.54296875" customWidth="1"/>
    <col min="5886" max="5887" width="16.81640625" customWidth="1"/>
    <col min="5888" max="5888" width="12.453125" customWidth="1"/>
    <col min="5889" max="5889" width="8.81640625" customWidth="1"/>
    <col min="5892" max="5892" width="10.54296875" bestFit="1" customWidth="1"/>
    <col min="6136" max="6136" width="19.1796875" customWidth="1"/>
    <col min="6137" max="6137" width="47.453125" customWidth="1"/>
    <col min="6138" max="6138" width="23.1796875" customWidth="1"/>
    <col min="6139" max="6139" width="19.6328125" bestFit="1" customWidth="1"/>
    <col min="6140" max="6140" width="16.453125" bestFit="1" customWidth="1"/>
    <col min="6141" max="6141" width="13.54296875" customWidth="1"/>
    <col min="6142" max="6143" width="16.81640625" customWidth="1"/>
    <col min="6144" max="6144" width="12.453125" customWidth="1"/>
    <col min="6145" max="6145" width="8.81640625" customWidth="1"/>
    <col min="6148" max="6148" width="10.54296875" bestFit="1" customWidth="1"/>
    <col min="6392" max="6392" width="19.1796875" customWidth="1"/>
    <col min="6393" max="6393" width="47.453125" customWidth="1"/>
    <col min="6394" max="6394" width="23.1796875" customWidth="1"/>
    <col min="6395" max="6395" width="19.6328125" bestFit="1" customWidth="1"/>
    <col min="6396" max="6396" width="16.453125" bestFit="1" customWidth="1"/>
    <col min="6397" max="6397" width="13.54296875" customWidth="1"/>
    <col min="6398" max="6399" width="16.81640625" customWidth="1"/>
    <col min="6400" max="6400" width="12.453125" customWidth="1"/>
    <col min="6401" max="6401" width="8.81640625" customWidth="1"/>
    <col min="6404" max="6404" width="10.54296875" bestFit="1" customWidth="1"/>
    <col min="6648" max="6648" width="19.1796875" customWidth="1"/>
    <col min="6649" max="6649" width="47.453125" customWidth="1"/>
    <col min="6650" max="6650" width="23.1796875" customWidth="1"/>
    <col min="6651" max="6651" width="19.6328125" bestFit="1" customWidth="1"/>
    <col min="6652" max="6652" width="16.453125" bestFit="1" customWidth="1"/>
    <col min="6653" max="6653" width="13.54296875" customWidth="1"/>
    <col min="6654" max="6655" width="16.81640625" customWidth="1"/>
    <col min="6656" max="6656" width="12.453125" customWidth="1"/>
    <col min="6657" max="6657" width="8.81640625" customWidth="1"/>
    <col min="6660" max="6660" width="10.54296875" bestFit="1" customWidth="1"/>
    <col min="6904" max="6904" width="19.1796875" customWidth="1"/>
    <col min="6905" max="6905" width="47.453125" customWidth="1"/>
    <col min="6906" max="6906" width="23.1796875" customWidth="1"/>
    <col min="6907" max="6907" width="19.6328125" bestFit="1" customWidth="1"/>
    <col min="6908" max="6908" width="16.453125" bestFit="1" customWidth="1"/>
    <col min="6909" max="6909" width="13.54296875" customWidth="1"/>
    <col min="6910" max="6911" width="16.81640625" customWidth="1"/>
    <col min="6912" max="6912" width="12.453125" customWidth="1"/>
    <col min="6913" max="6913" width="8.81640625" customWidth="1"/>
    <col min="6916" max="6916" width="10.54296875" bestFit="1" customWidth="1"/>
    <col min="7160" max="7160" width="19.1796875" customWidth="1"/>
    <col min="7161" max="7161" width="47.453125" customWidth="1"/>
    <col min="7162" max="7162" width="23.1796875" customWidth="1"/>
    <col min="7163" max="7163" width="19.6328125" bestFit="1" customWidth="1"/>
    <col min="7164" max="7164" width="16.453125" bestFit="1" customWidth="1"/>
    <col min="7165" max="7165" width="13.54296875" customWidth="1"/>
    <col min="7166" max="7167" width="16.81640625" customWidth="1"/>
    <col min="7168" max="7168" width="12.453125" customWidth="1"/>
    <col min="7169" max="7169" width="8.81640625" customWidth="1"/>
    <col min="7172" max="7172" width="10.54296875" bestFit="1" customWidth="1"/>
    <col min="7416" max="7416" width="19.1796875" customWidth="1"/>
    <col min="7417" max="7417" width="47.453125" customWidth="1"/>
    <col min="7418" max="7418" width="23.1796875" customWidth="1"/>
    <col min="7419" max="7419" width="19.6328125" bestFit="1" customWidth="1"/>
    <col min="7420" max="7420" width="16.453125" bestFit="1" customWidth="1"/>
    <col min="7421" max="7421" width="13.54296875" customWidth="1"/>
    <col min="7422" max="7423" width="16.81640625" customWidth="1"/>
    <col min="7424" max="7424" width="12.453125" customWidth="1"/>
    <col min="7425" max="7425" width="8.81640625" customWidth="1"/>
    <col min="7428" max="7428" width="10.54296875" bestFit="1" customWidth="1"/>
    <col min="7672" max="7672" width="19.1796875" customWidth="1"/>
    <col min="7673" max="7673" width="47.453125" customWidth="1"/>
    <col min="7674" max="7674" width="23.1796875" customWidth="1"/>
    <col min="7675" max="7675" width="19.6328125" bestFit="1" customWidth="1"/>
    <col min="7676" max="7676" width="16.453125" bestFit="1" customWidth="1"/>
    <col min="7677" max="7677" width="13.54296875" customWidth="1"/>
    <col min="7678" max="7679" width="16.81640625" customWidth="1"/>
    <col min="7680" max="7680" width="12.453125" customWidth="1"/>
    <col min="7681" max="7681" width="8.81640625" customWidth="1"/>
    <col min="7684" max="7684" width="10.54296875" bestFit="1" customWidth="1"/>
    <col min="7928" max="7928" width="19.1796875" customWidth="1"/>
    <col min="7929" max="7929" width="47.453125" customWidth="1"/>
    <col min="7930" max="7930" width="23.1796875" customWidth="1"/>
    <col min="7931" max="7931" width="19.6328125" bestFit="1" customWidth="1"/>
    <col min="7932" max="7932" width="16.453125" bestFit="1" customWidth="1"/>
    <col min="7933" max="7933" width="13.54296875" customWidth="1"/>
    <col min="7934" max="7935" width="16.81640625" customWidth="1"/>
    <col min="7936" max="7936" width="12.453125" customWidth="1"/>
    <col min="7937" max="7937" width="8.81640625" customWidth="1"/>
    <col min="7940" max="7940" width="10.54296875" bestFit="1" customWidth="1"/>
    <col min="8184" max="8184" width="19.1796875" customWidth="1"/>
    <col min="8185" max="8185" width="47.453125" customWidth="1"/>
    <col min="8186" max="8186" width="23.1796875" customWidth="1"/>
    <col min="8187" max="8187" width="19.6328125" bestFit="1" customWidth="1"/>
    <col min="8188" max="8188" width="16.453125" bestFit="1" customWidth="1"/>
    <col min="8189" max="8189" width="13.54296875" customWidth="1"/>
    <col min="8190" max="8191" width="16.81640625" customWidth="1"/>
    <col min="8192" max="8192" width="12.453125" customWidth="1"/>
    <col min="8193" max="8193" width="8.81640625" customWidth="1"/>
    <col min="8196" max="8196" width="10.54296875" bestFit="1" customWidth="1"/>
    <col min="8440" max="8440" width="19.1796875" customWidth="1"/>
    <col min="8441" max="8441" width="47.453125" customWidth="1"/>
    <col min="8442" max="8442" width="23.1796875" customWidth="1"/>
    <col min="8443" max="8443" width="19.6328125" bestFit="1" customWidth="1"/>
    <col min="8444" max="8444" width="16.453125" bestFit="1" customWidth="1"/>
    <col min="8445" max="8445" width="13.54296875" customWidth="1"/>
    <col min="8446" max="8447" width="16.81640625" customWidth="1"/>
    <col min="8448" max="8448" width="12.453125" customWidth="1"/>
    <col min="8449" max="8449" width="8.81640625" customWidth="1"/>
    <col min="8452" max="8452" width="10.54296875" bestFit="1" customWidth="1"/>
    <col min="8696" max="8696" width="19.1796875" customWidth="1"/>
    <col min="8697" max="8697" width="47.453125" customWidth="1"/>
    <col min="8698" max="8698" width="23.1796875" customWidth="1"/>
    <col min="8699" max="8699" width="19.6328125" bestFit="1" customWidth="1"/>
    <col min="8700" max="8700" width="16.453125" bestFit="1" customWidth="1"/>
    <col min="8701" max="8701" width="13.54296875" customWidth="1"/>
    <col min="8702" max="8703" width="16.81640625" customWidth="1"/>
    <col min="8704" max="8704" width="12.453125" customWidth="1"/>
    <col min="8705" max="8705" width="8.81640625" customWidth="1"/>
    <col min="8708" max="8708" width="10.54296875" bestFit="1" customWidth="1"/>
    <col min="8952" max="8952" width="19.1796875" customWidth="1"/>
    <col min="8953" max="8953" width="47.453125" customWidth="1"/>
    <col min="8954" max="8954" width="23.1796875" customWidth="1"/>
    <col min="8955" max="8955" width="19.6328125" bestFit="1" customWidth="1"/>
    <col min="8956" max="8956" width="16.453125" bestFit="1" customWidth="1"/>
    <col min="8957" max="8957" width="13.54296875" customWidth="1"/>
    <col min="8958" max="8959" width="16.81640625" customWidth="1"/>
    <col min="8960" max="8960" width="12.453125" customWidth="1"/>
    <col min="8961" max="8961" width="8.81640625" customWidth="1"/>
    <col min="8964" max="8964" width="10.54296875" bestFit="1" customWidth="1"/>
    <col min="9208" max="9208" width="19.1796875" customWidth="1"/>
    <col min="9209" max="9209" width="47.453125" customWidth="1"/>
    <col min="9210" max="9210" width="23.1796875" customWidth="1"/>
    <col min="9211" max="9211" width="19.6328125" bestFit="1" customWidth="1"/>
    <col min="9212" max="9212" width="16.453125" bestFit="1" customWidth="1"/>
    <col min="9213" max="9213" width="13.54296875" customWidth="1"/>
    <col min="9214" max="9215" width="16.81640625" customWidth="1"/>
    <col min="9216" max="9216" width="12.453125" customWidth="1"/>
    <col min="9217" max="9217" width="8.81640625" customWidth="1"/>
    <col min="9220" max="9220" width="10.54296875" bestFit="1" customWidth="1"/>
    <col min="9464" max="9464" width="19.1796875" customWidth="1"/>
    <col min="9465" max="9465" width="47.453125" customWidth="1"/>
    <col min="9466" max="9466" width="23.1796875" customWidth="1"/>
    <col min="9467" max="9467" width="19.6328125" bestFit="1" customWidth="1"/>
    <col min="9468" max="9468" width="16.453125" bestFit="1" customWidth="1"/>
    <col min="9469" max="9469" width="13.54296875" customWidth="1"/>
    <col min="9470" max="9471" width="16.81640625" customWidth="1"/>
    <col min="9472" max="9472" width="12.453125" customWidth="1"/>
    <col min="9473" max="9473" width="8.81640625" customWidth="1"/>
    <col min="9476" max="9476" width="10.54296875" bestFit="1" customWidth="1"/>
    <col min="9720" max="9720" width="19.1796875" customWidth="1"/>
    <col min="9721" max="9721" width="47.453125" customWidth="1"/>
    <col min="9722" max="9722" width="23.1796875" customWidth="1"/>
    <col min="9723" max="9723" width="19.6328125" bestFit="1" customWidth="1"/>
    <col min="9724" max="9724" width="16.453125" bestFit="1" customWidth="1"/>
    <col min="9725" max="9725" width="13.54296875" customWidth="1"/>
    <col min="9726" max="9727" width="16.81640625" customWidth="1"/>
    <col min="9728" max="9728" width="12.453125" customWidth="1"/>
    <col min="9729" max="9729" width="8.81640625" customWidth="1"/>
    <col min="9732" max="9732" width="10.54296875" bestFit="1" customWidth="1"/>
    <col min="9976" max="9976" width="19.1796875" customWidth="1"/>
    <col min="9977" max="9977" width="47.453125" customWidth="1"/>
    <col min="9978" max="9978" width="23.1796875" customWidth="1"/>
    <col min="9979" max="9979" width="19.6328125" bestFit="1" customWidth="1"/>
    <col min="9980" max="9980" width="16.453125" bestFit="1" customWidth="1"/>
    <col min="9981" max="9981" width="13.54296875" customWidth="1"/>
    <col min="9982" max="9983" width="16.81640625" customWidth="1"/>
    <col min="9984" max="9984" width="12.453125" customWidth="1"/>
    <col min="9985" max="9985" width="8.81640625" customWidth="1"/>
    <col min="9988" max="9988" width="10.54296875" bestFit="1" customWidth="1"/>
    <col min="10232" max="10232" width="19.1796875" customWidth="1"/>
    <col min="10233" max="10233" width="47.453125" customWidth="1"/>
    <col min="10234" max="10234" width="23.1796875" customWidth="1"/>
    <col min="10235" max="10235" width="19.6328125" bestFit="1" customWidth="1"/>
    <col min="10236" max="10236" width="16.453125" bestFit="1" customWidth="1"/>
    <col min="10237" max="10237" width="13.54296875" customWidth="1"/>
    <col min="10238" max="10239" width="16.81640625" customWidth="1"/>
    <col min="10240" max="10240" width="12.453125" customWidth="1"/>
    <col min="10241" max="10241" width="8.81640625" customWidth="1"/>
    <col min="10244" max="10244" width="10.54296875" bestFit="1" customWidth="1"/>
    <col min="10488" max="10488" width="19.1796875" customWidth="1"/>
    <col min="10489" max="10489" width="47.453125" customWidth="1"/>
    <col min="10490" max="10490" width="23.1796875" customWidth="1"/>
    <col min="10491" max="10491" width="19.6328125" bestFit="1" customWidth="1"/>
    <col min="10492" max="10492" width="16.453125" bestFit="1" customWidth="1"/>
    <col min="10493" max="10493" width="13.54296875" customWidth="1"/>
    <col min="10494" max="10495" width="16.81640625" customWidth="1"/>
    <col min="10496" max="10496" width="12.453125" customWidth="1"/>
    <col min="10497" max="10497" width="8.81640625" customWidth="1"/>
    <col min="10500" max="10500" width="10.54296875" bestFit="1" customWidth="1"/>
    <col min="10744" max="10744" width="19.1796875" customWidth="1"/>
    <col min="10745" max="10745" width="47.453125" customWidth="1"/>
    <col min="10746" max="10746" width="23.1796875" customWidth="1"/>
    <col min="10747" max="10747" width="19.6328125" bestFit="1" customWidth="1"/>
    <col min="10748" max="10748" width="16.453125" bestFit="1" customWidth="1"/>
    <col min="10749" max="10749" width="13.54296875" customWidth="1"/>
    <col min="10750" max="10751" width="16.81640625" customWidth="1"/>
    <col min="10752" max="10752" width="12.453125" customWidth="1"/>
    <col min="10753" max="10753" width="8.81640625" customWidth="1"/>
    <col min="10756" max="10756" width="10.54296875" bestFit="1" customWidth="1"/>
    <col min="11000" max="11000" width="19.1796875" customWidth="1"/>
    <col min="11001" max="11001" width="47.453125" customWidth="1"/>
    <col min="11002" max="11002" width="23.1796875" customWidth="1"/>
    <col min="11003" max="11003" width="19.6328125" bestFit="1" customWidth="1"/>
    <col min="11004" max="11004" width="16.453125" bestFit="1" customWidth="1"/>
    <col min="11005" max="11005" width="13.54296875" customWidth="1"/>
    <col min="11006" max="11007" width="16.81640625" customWidth="1"/>
    <col min="11008" max="11008" width="12.453125" customWidth="1"/>
    <col min="11009" max="11009" width="8.81640625" customWidth="1"/>
    <col min="11012" max="11012" width="10.54296875" bestFit="1" customWidth="1"/>
    <col min="11256" max="11256" width="19.1796875" customWidth="1"/>
    <col min="11257" max="11257" width="47.453125" customWidth="1"/>
    <col min="11258" max="11258" width="23.1796875" customWidth="1"/>
    <col min="11259" max="11259" width="19.6328125" bestFit="1" customWidth="1"/>
    <col min="11260" max="11260" width="16.453125" bestFit="1" customWidth="1"/>
    <col min="11261" max="11261" width="13.54296875" customWidth="1"/>
    <col min="11262" max="11263" width="16.81640625" customWidth="1"/>
    <col min="11264" max="11264" width="12.453125" customWidth="1"/>
    <col min="11265" max="11265" width="8.81640625" customWidth="1"/>
    <col min="11268" max="11268" width="10.54296875" bestFit="1" customWidth="1"/>
    <col min="11512" max="11512" width="19.1796875" customWidth="1"/>
    <col min="11513" max="11513" width="47.453125" customWidth="1"/>
    <col min="11514" max="11514" width="23.1796875" customWidth="1"/>
    <col min="11515" max="11515" width="19.6328125" bestFit="1" customWidth="1"/>
    <col min="11516" max="11516" width="16.453125" bestFit="1" customWidth="1"/>
    <col min="11517" max="11517" width="13.54296875" customWidth="1"/>
    <col min="11518" max="11519" width="16.81640625" customWidth="1"/>
    <col min="11520" max="11520" width="12.453125" customWidth="1"/>
    <col min="11521" max="11521" width="8.81640625" customWidth="1"/>
    <col min="11524" max="11524" width="10.54296875" bestFit="1" customWidth="1"/>
    <col min="11768" max="11768" width="19.1796875" customWidth="1"/>
    <col min="11769" max="11769" width="47.453125" customWidth="1"/>
    <col min="11770" max="11770" width="23.1796875" customWidth="1"/>
    <col min="11771" max="11771" width="19.6328125" bestFit="1" customWidth="1"/>
    <col min="11772" max="11772" width="16.453125" bestFit="1" customWidth="1"/>
    <col min="11773" max="11773" width="13.54296875" customWidth="1"/>
    <col min="11774" max="11775" width="16.81640625" customWidth="1"/>
    <col min="11776" max="11776" width="12.453125" customWidth="1"/>
    <col min="11777" max="11777" width="8.81640625" customWidth="1"/>
    <col min="11780" max="11780" width="10.54296875" bestFit="1" customWidth="1"/>
    <col min="12024" max="12024" width="19.1796875" customWidth="1"/>
    <col min="12025" max="12025" width="47.453125" customWidth="1"/>
    <col min="12026" max="12026" width="23.1796875" customWidth="1"/>
    <col min="12027" max="12027" width="19.6328125" bestFit="1" customWidth="1"/>
    <col min="12028" max="12028" width="16.453125" bestFit="1" customWidth="1"/>
    <col min="12029" max="12029" width="13.54296875" customWidth="1"/>
    <col min="12030" max="12031" width="16.81640625" customWidth="1"/>
    <col min="12032" max="12032" width="12.453125" customWidth="1"/>
    <col min="12033" max="12033" width="8.81640625" customWidth="1"/>
    <col min="12036" max="12036" width="10.54296875" bestFit="1" customWidth="1"/>
    <col min="12280" max="12280" width="19.1796875" customWidth="1"/>
    <col min="12281" max="12281" width="47.453125" customWidth="1"/>
    <col min="12282" max="12282" width="23.1796875" customWidth="1"/>
    <col min="12283" max="12283" width="19.6328125" bestFit="1" customWidth="1"/>
    <col min="12284" max="12284" width="16.453125" bestFit="1" customWidth="1"/>
    <col min="12285" max="12285" width="13.54296875" customWidth="1"/>
    <col min="12286" max="12287" width="16.81640625" customWidth="1"/>
    <col min="12288" max="12288" width="12.453125" customWidth="1"/>
    <col min="12289" max="12289" width="8.81640625" customWidth="1"/>
    <col min="12292" max="12292" width="10.54296875" bestFit="1" customWidth="1"/>
    <col min="12536" max="12536" width="19.1796875" customWidth="1"/>
    <col min="12537" max="12537" width="47.453125" customWidth="1"/>
    <col min="12538" max="12538" width="23.1796875" customWidth="1"/>
    <col min="12539" max="12539" width="19.6328125" bestFit="1" customWidth="1"/>
    <col min="12540" max="12540" width="16.453125" bestFit="1" customWidth="1"/>
    <col min="12541" max="12541" width="13.54296875" customWidth="1"/>
    <col min="12542" max="12543" width="16.81640625" customWidth="1"/>
    <col min="12544" max="12544" width="12.453125" customWidth="1"/>
    <col min="12545" max="12545" width="8.81640625" customWidth="1"/>
    <col min="12548" max="12548" width="10.54296875" bestFit="1" customWidth="1"/>
    <col min="12792" max="12792" width="19.1796875" customWidth="1"/>
    <col min="12793" max="12793" width="47.453125" customWidth="1"/>
    <col min="12794" max="12794" width="23.1796875" customWidth="1"/>
    <col min="12795" max="12795" width="19.6328125" bestFit="1" customWidth="1"/>
    <col min="12796" max="12796" width="16.453125" bestFit="1" customWidth="1"/>
    <col min="12797" max="12797" width="13.54296875" customWidth="1"/>
    <col min="12798" max="12799" width="16.81640625" customWidth="1"/>
    <col min="12800" max="12800" width="12.453125" customWidth="1"/>
    <col min="12801" max="12801" width="8.81640625" customWidth="1"/>
    <col min="12804" max="12804" width="10.54296875" bestFit="1" customWidth="1"/>
    <col min="13048" max="13048" width="19.1796875" customWidth="1"/>
    <col min="13049" max="13049" width="47.453125" customWidth="1"/>
    <col min="13050" max="13050" width="23.1796875" customWidth="1"/>
    <col min="13051" max="13051" width="19.6328125" bestFit="1" customWidth="1"/>
    <col min="13052" max="13052" width="16.453125" bestFit="1" customWidth="1"/>
    <col min="13053" max="13053" width="13.54296875" customWidth="1"/>
    <col min="13054" max="13055" width="16.81640625" customWidth="1"/>
    <col min="13056" max="13056" width="12.453125" customWidth="1"/>
    <col min="13057" max="13057" width="8.81640625" customWidth="1"/>
    <col min="13060" max="13060" width="10.54296875" bestFit="1" customWidth="1"/>
    <col min="13304" max="13304" width="19.1796875" customWidth="1"/>
    <col min="13305" max="13305" width="47.453125" customWidth="1"/>
    <col min="13306" max="13306" width="23.1796875" customWidth="1"/>
    <col min="13307" max="13307" width="19.6328125" bestFit="1" customWidth="1"/>
    <col min="13308" max="13308" width="16.453125" bestFit="1" customWidth="1"/>
    <col min="13309" max="13309" width="13.54296875" customWidth="1"/>
    <col min="13310" max="13311" width="16.81640625" customWidth="1"/>
    <col min="13312" max="13312" width="12.453125" customWidth="1"/>
    <col min="13313" max="13313" width="8.81640625" customWidth="1"/>
    <col min="13316" max="13316" width="10.54296875" bestFit="1" customWidth="1"/>
    <col min="13560" max="13560" width="19.1796875" customWidth="1"/>
    <col min="13561" max="13561" width="47.453125" customWidth="1"/>
    <col min="13562" max="13562" width="23.1796875" customWidth="1"/>
    <col min="13563" max="13563" width="19.6328125" bestFit="1" customWidth="1"/>
    <col min="13564" max="13564" width="16.453125" bestFit="1" customWidth="1"/>
    <col min="13565" max="13565" width="13.54296875" customWidth="1"/>
    <col min="13566" max="13567" width="16.81640625" customWidth="1"/>
    <col min="13568" max="13568" width="12.453125" customWidth="1"/>
    <col min="13569" max="13569" width="8.81640625" customWidth="1"/>
    <col min="13572" max="13572" width="10.54296875" bestFit="1" customWidth="1"/>
    <col min="13816" max="13816" width="19.1796875" customWidth="1"/>
    <col min="13817" max="13817" width="47.453125" customWidth="1"/>
    <col min="13818" max="13818" width="23.1796875" customWidth="1"/>
    <col min="13819" max="13819" width="19.6328125" bestFit="1" customWidth="1"/>
    <col min="13820" max="13820" width="16.453125" bestFit="1" customWidth="1"/>
    <col min="13821" max="13821" width="13.54296875" customWidth="1"/>
    <col min="13822" max="13823" width="16.81640625" customWidth="1"/>
    <col min="13824" max="13824" width="12.453125" customWidth="1"/>
    <col min="13825" max="13825" width="8.81640625" customWidth="1"/>
    <col min="13828" max="13828" width="10.54296875" bestFit="1" customWidth="1"/>
    <col min="14072" max="14072" width="19.1796875" customWidth="1"/>
    <col min="14073" max="14073" width="47.453125" customWidth="1"/>
    <col min="14074" max="14074" width="23.1796875" customWidth="1"/>
    <col min="14075" max="14075" width="19.6328125" bestFit="1" customWidth="1"/>
    <col min="14076" max="14076" width="16.453125" bestFit="1" customWidth="1"/>
    <col min="14077" max="14077" width="13.54296875" customWidth="1"/>
    <col min="14078" max="14079" width="16.81640625" customWidth="1"/>
    <col min="14080" max="14080" width="12.453125" customWidth="1"/>
    <col min="14081" max="14081" width="8.81640625" customWidth="1"/>
    <col min="14084" max="14084" width="10.54296875" bestFit="1" customWidth="1"/>
    <col min="14328" max="14328" width="19.1796875" customWidth="1"/>
    <col min="14329" max="14329" width="47.453125" customWidth="1"/>
    <col min="14330" max="14330" width="23.1796875" customWidth="1"/>
    <col min="14331" max="14331" width="19.6328125" bestFit="1" customWidth="1"/>
    <col min="14332" max="14332" width="16.453125" bestFit="1" customWidth="1"/>
    <col min="14333" max="14333" width="13.54296875" customWidth="1"/>
    <col min="14334" max="14335" width="16.81640625" customWidth="1"/>
    <col min="14336" max="14336" width="12.453125" customWidth="1"/>
    <col min="14337" max="14337" width="8.81640625" customWidth="1"/>
    <col min="14340" max="14340" width="10.54296875" bestFit="1" customWidth="1"/>
    <col min="14584" max="14584" width="19.1796875" customWidth="1"/>
    <col min="14585" max="14585" width="47.453125" customWidth="1"/>
    <col min="14586" max="14586" width="23.1796875" customWidth="1"/>
    <col min="14587" max="14587" width="19.6328125" bestFit="1" customWidth="1"/>
    <col min="14588" max="14588" width="16.453125" bestFit="1" customWidth="1"/>
    <col min="14589" max="14589" width="13.54296875" customWidth="1"/>
    <col min="14590" max="14591" width="16.81640625" customWidth="1"/>
    <col min="14592" max="14592" width="12.453125" customWidth="1"/>
    <col min="14593" max="14593" width="8.81640625" customWidth="1"/>
    <col min="14596" max="14596" width="10.54296875" bestFit="1" customWidth="1"/>
    <col min="14840" max="14840" width="19.1796875" customWidth="1"/>
    <col min="14841" max="14841" width="47.453125" customWidth="1"/>
    <col min="14842" max="14842" width="23.1796875" customWidth="1"/>
    <col min="14843" max="14843" width="19.6328125" bestFit="1" customWidth="1"/>
    <col min="14844" max="14844" width="16.453125" bestFit="1" customWidth="1"/>
    <col min="14845" max="14845" width="13.54296875" customWidth="1"/>
    <col min="14846" max="14847" width="16.81640625" customWidth="1"/>
    <col min="14848" max="14848" width="12.453125" customWidth="1"/>
    <col min="14849" max="14849" width="8.81640625" customWidth="1"/>
    <col min="14852" max="14852" width="10.54296875" bestFit="1" customWidth="1"/>
    <col min="15096" max="15096" width="19.1796875" customWidth="1"/>
    <col min="15097" max="15097" width="47.453125" customWidth="1"/>
    <col min="15098" max="15098" width="23.1796875" customWidth="1"/>
    <col min="15099" max="15099" width="19.6328125" bestFit="1" customWidth="1"/>
    <col min="15100" max="15100" width="16.453125" bestFit="1" customWidth="1"/>
    <col min="15101" max="15101" width="13.54296875" customWidth="1"/>
    <col min="15102" max="15103" width="16.81640625" customWidth="1"/>
    <col min="15104" max="15104" width="12.453125" customWidth="1"/>
    <col min="15105" max="15105" width="8.81640625" customWidth="1"/>
    <col min="15108" max="15108" width="10.54296875" bestFit="1" customWidth="1"/>
    <col min="15352" max="15352" width="19.1796875" customWidth="1"/>
    <col min="15353" max="15353" width="47.453125" customWidth="1"/>
    <col min="15354" max="15354" width="23.1796875" customWidth="1"/>
    <col min="15355" max="15355" width="19.6328125" bestFit="1" customWidth="1"/>
    <col min="15356" max="15356" width="16.453125" bestFit="1" customWidth="1"/>
    <col min="15357" max="15357" width="13.54296875" customWidth="1"/>
    <col min="15358" max="15359" width="16.81640625" customWidth="1"/>
    <col min="15360" max="15360" width="12.453125" customWidth="1"/>
    <col min="15361" max="15361" width="8.81640625" customWidth="1"/>
    <col min="15364" max="15364" width="10.54296875" bestFit="1" customWidth="1"/>
    <col min="15608" max="15608" width="19.1796875" customWidth="1"/>
    <col min="15609" max="15609" width="47.453125" customWidth="1"/>
    <col min="15610" max="15610" width="23.1796875" customWidth="1"/>
    <col min="15611" max="15611" width="19.6328125" bestFit="1" customWidth="1"/>
    <col min="15612" max="15612" width="16.453125" bestFit="1" customWidth="1"/>
    <col min="15613" max="15613" width="13.54296875" customWidth="1"/>
    <col min="15614" max="15615" width="16.81640625" customWidth="1"/>
    <col min="15616" max="15616" width="12.453125" customWidth="1"/>
    <col min="15617" max="15617" width="8.81640625" customWidth="1"/>
    <col min="15620" max="15620" width="10.54296875" bestFit="1" customWidth="1"/>
    <col min="15864" max="15864" width="19.1796875" customWidth="1"/>
    <col min="15865" max="15865" width="47.453125" customWidth="1"/>
    <col min="15866" max="15866" width="23.1796875" customWidth="1"/>
    <col min="15867" max="15867" width="19.6328125" bestFit="1" customWidth="1"/>
    <col min="15868" max="15868" width="16.453125" bestFit="1" customWidth="1"/>
    <col min="15869" max="15869" width="13.54296875" customWidth="1"/>
    <col min="15870" max="15871" width="16.81640625" customWidth="1"/>
    <col min="15872" max="15872" width="12.453125" customWidth="1"/>
    <col min="15873" max="15873" width="8.81640625" customWidth="1"/>
    <col min="15876" max="15876" width="10.54296875" bestFit="1" customWidth="1"/>
    <col min="16120" max="16120" width="19.1796875" customWidth="1"/>
    <col min="16121" max="16121" width="47.453125" customWidth="1"/>
    <col min="16122" max="16122" width="23.1796875" customWidth="1"/>
    <col min="16123" max="16123" width="19.6328125" bestFit="1" customWidth="1"/>
    <col min="16124" max="16124" width="16.453125" bestFit="1" customWidth="1"/>
    <col min="16125" max="16125" width="13.54296875" customWidth="1"/>
    <col min="16126" max="16127" width="16.81640625" customWidth="1"/>
    <col min="16128" max="16128" width="12.453125" customWidth="1"/>
    <col min="16129" max="16129" width="8.81640625" customWidth="1"/>
    <col min="16132" max="16132" width="10.54296875" bestFit="1" customWidth="1"/>
  </cols>
  <sheetData>
    <row r="1" spans="1:10" x14ac:dyDescent="0.35">
      <c r="A1" s="5" t="s">
        <v>0</v>
      </c>
      <c r="B1" s="5"/>
      <c r="C1" s="5"/>
      <c r="D1" s="5"/>
      <c r="E1" s="5"/>
      <c r="F1" s="5"/>
      <c r="G1" s="5"/>
      <c r="H1" s="5"/>
      <c r="I1" s="5"/>
    </row>
    <row r="2" spans="1:10" x14ac:dyDescent="0.35">
      <c r="A2" s="13" t="s">
        <v>1</v>
      </c>
      <c r="B2" s="13"/>
      <c r="C2" s="13"/>
      <c r="D2" s="13"/>
      <c r="E2" s="13"/>
      <c r="F2" s="13"/>
      <c r="G2" s="13"/>
      <c r="H2" s="13"/>
      <c r="I2" s="13"/>
    </row>
    <row r="3" spans="1:10" x14ac:dyDescent="0.35">
      <c r="A3" s="14" t="s">
        <v>2</v>
      </c>
      <c r="B3" s="14"/>
      <c r="C3" s="14"/>
      <c r="D3" s="14"/>
      <c r="E3" s="14"/>
      <c r="F3" s="14"/>
      <c r="G3" s="14"/>
      <c r="H3" s="14"/>
      <c r="I3" s="14"/>
    </row>
    <row r="4" spans="1:10" ht="32.25" customHeight="1" x14ac:dyDescent="0.35">
      <c r="A4" s="15" t="s">
        <v>3</v>
      </c>
      <c r="B4" s="16" t="s">
        <v>4</v>
      </c>
      <c r="C4" s="17" t="s">
        <v>5</v>
      </c>
      <c r="D4" s="15" t="s">
        <v>6</v>
      </c>
      <c r="E4" s="18" t="s">
        <v>7</v>
      </c>
      <c r="F4" s="19" t="s">
        <v>8</v>
      </c>
      <c r="G4" s="19" t="s">
        <v>9</v>
      </c>
      <c r="H4" s="19" t="s">
        <v>10</v>
      </c>
      <c r="I4" s="15" t="s">
        <v>11</v>
      </c>
    </row>
    <row r="5" spans="1:10" x14ac:dyDescent="0.35">
      <c r="A5" s="20"/>
      <c r="B5" s="21" t="s">
        <v>12</v>
      </c>
      <c r="C5" s="20"/>
      <c r="D5" s="22"/>
      <c r="E5" s="22"/>
      <c r="F5" s="23"/>
      <c r="G5" s="24"/>
      <c r="H5" s="23"/>
      <c r="I5" s="25"/>
    </row>
    <row r="6" spans="1:10" x14ac:dyDescent="0.35">
      <c r="A6" s="20"/>
      <c r="B6" s="21" t="s">
        <v>13</v>
      </c>
      <c r="C6" s="20"/>
      <c r="D6" s="22"/>
      <c r="E6" s="26"/>
      <c r="F6" s="26"/>
      <c r="G6" s="24"/>
      <c r="H6" s="23"/>
      <c r="I6" s="25"/>
    </row>
    <row r="7" spans="1:10" x14ac:dyDescent="0.35">
      <c r="A7" s="27" t="s">
        <v>14</v>
      </c>
      <c r="B7" s="27" t="s">
        <v>15</v>
      </c>
      <c r="C7" s="27" t="s">
        <v>16</v>
      </c>
      <c r="D7" s="28">
        <v>80500</v>
      </c>
      <c r="E7" s="28">
        <v>1063.9684999999999</v>
      </c>
      <c r="F7" s="29">
        <v>7.7248498877367053E-2</v>
      </c>
      <c r="G7" s="30"/>
      <c r="H7" s="30"/>
      <c r="I7" s="25"/>
      <c r="J7" t="str">
        <f t="shared" ref="J7:J49" si="0">IFERROR(IF(VALUE(XDO_?PER_NET_ASST_EQU?)&lt;0.0001,"$",""),"")</f>
        <v/>
      </c>
    </row>
    <row r="8" spans="1:10" x14ac:dyDescent="0.35">
      <c r="A8" s="27" t="s">
        <v>17</v>
      </c>
      <c r="B8" s="27" t="s">
        <v>18</v>
      </c>
      <c r="C8" s="27" t="s">
        <v>16</v>
      </c>
      <c r="D8" s="28">
        <v>74375</v>
      </c>
      <c r="E8" s="28">
        <v>911.83749999999998</v>
      </c>
      <c r="F8" s="29">
        <v>6.6203161179199554E-2</v>
      </c>
      <c r="G8" s="30"/>
      <c r="H8" s="30"/>
      <c r="I8" s="25"/>
      <c r="J8" t="str">
        <f t="shared" si="0"/>
        <v/>
      </c>
    </row>
    <row r="9" spans="1:10" x14ac:dyDescent="0.35">
      <c r="A9" s="27" t="s">
        <v>19</v>
      </c>
      <c r="B9" s="27" t="s">
        <v>20</v>
      </c>
      <c r="C9" s="27" t="s">
        <v>16</v>
      </c>
      <c r="D9" s="28">
        <v>580500</v>
      </c>
      <c r="E9" s="28">
        <v>693.3492</v>
      </c>
      <c r="F9" s="29">
        <v>5.0340009970053952E-2</v>
      </c>
      <c r="G9" s="30"/>
      <c r="H9" s="30"/>
      <c r="I9" s="25"/>
      <c r="J9" t="str">
        <f t="shared" si="0"/>
        <v/>
      </c>
    </row>
    <row r="10" spans="1:10" x14ac:dyDescent="0.35">
      <c r="A10" s="27" t="s">
        <v>21</v>
      </c>
      <c r="B10" s="27" t="s">
        <v>22</v>
      </c>
      <c r="C10" s="27" t="s">
        <v>23</v>
      </c>
      <c r="D10" s="28">
        <v>165375</v>
      </c>
      <c r="E10" s="28">
        <v>687.13312499999995</v>
      </c>
      <c r="F10" s="29">
        <v>4.9888697301813181E-2</v>
      </c>
      <c r="G10" s="30"/>
      <c r="H10" s="30"/>
      <c r="I10" s="25"/>
      <c r="J10" t="str">
        <f t="shared" si="0"/>
        <v/>
      </c>
    </row>
    <row r="11" spans="1:10" x14ac:dyDescent="0.35">
      <c r="A11" s="27" t="s">
        <v>24</v>
      </c>
      <c r="B11" s="27" t="s">
        <v>25</v>
      </c>
      <c r="C11" s="27" t="s">
        <v>16</v>
      </c>
      <c r="D11" s="28">
        <v>96850</v>
      </c>
      <c r="E11" s="28">
        <v>686.37594999999999</v>
      </c>
      <c r="F11" s="29">
        <v>4.9833723275667229E-2</v>
      </c>
      <c r="G11" s="30"/>
      <c r="H11" s="30"/>
      <c r="I11" s="25"/>
      <c r="J11" t="str">
        <f t="shared" si="0"/>
        <v/>
      </c>
    </row>
    <row r="12" spans="1:10" x14ac:dyDescent="0.35">
      <c r="A12" s="27" t="s">
        <v>26</v>
      </c>
      <c r="B12" s="27" t="s">
        <v>27</v>
      </c>
      <c r="C12" s="27" t="s">
        <v>28</v>
      </c>
      <c r="D12" s="28">
        <v>4574400</v>
      </c>
      <c r="E12" s="28">
        <v>592.38480000000004</v>
      </c>
      <c r="F12" s="29">
        <v>4.3009578345382694E-2</v>
      </c>
      <c r="G12" s="30"/>
      <c r="H12" s="30"/>
      <c r="I12" s="25"/>
      <c r="J12" t="str">
        <f t="shared" si="0"/>
        <v/>
      </c>
    </row>
    <row r="13" spans="1:10" x14ac:dyDescent="0.35">
      <c r="A13" s="27" t="s">
        <v>29</v>
      </c>
      <c r="B13" s="27" t="s">
        <v>30</v>
      </c>
      <c r="C13" s="27" t="s">
        <v>31</v>
      </c>
      <c r="D13" s="28">
        <v>35750</v>
      </c>
      <c r="E13" s="28">
        <v>582.18875000000003</v>
      </c>
      <c r="F13" s="29">
        <v>4.226930308631386E-2</v>
      </c>
      <c r="G13" s="30"/>
      <c r="H13" s="30"/>
      <c r="I13" s="25"/>
      <c r="J13" t="str">
        <f t="shared" si="0"/>
        <v/>
      </c>
    </row>
    <row r="14" spans="1:10" x14ac:dyDescent="0.35">
      <c r="A14" s="27" t="s">
        <v>32</v>
      </c>
      <c r="B14" s="27" t="s">
        <v>33</v>
      </c>
      <c r="C14" s="27" t="s">
        <v>34</v>
      </c>
      <c r="D14" s="28">
        <v>258500</v>
      </c>
      <c r="E14" s="28">
        <v>476.41550000000001</v>
      </c>
      <c r="F14" s="29">
        <v>3.4589729129114503E-2</v>
      </c>
      <c r="G14" s="30"/>
      <c r="H14" s="30"/>
      <c r="I14" s="25"/>
      <c r="J14" t="str">
        <f t="shared" si="0"/>
        <v/>
      </c>
    </row>
    <row r="15" spans="1:10" x14ac:dyDescent="0.35">
      <c r="A15" s="27" t="s">
        <v>35</v>
      </c>
      <c r="B15" s="27" t="s">
        <v>36</v>
      </c>
      <c r="C15" s="27" t="s">
        <v>37</v>
      </c>
      <c r="D15" s="28">
        <v>31200</v>
      </c>
      <c r="E15" s="28">
        <v>398.73599999999999</v>
      </c>
      <c r="F15" s="29">
        <v>2.8949877226972256E-2</v>
      </c>
      <c r="G15" s="30"/>
      <c r="H15" s="30"/>
      <c r="I15" s="25"/>
      <c r="J15" t="str">
        <f t="shared" si="0"/>
        <v/>
      </c>
    </row>
    <row r="16" spans="1:10" x14ac:dyDescent="0.35">
      <c r="A16" s="27" t="s">
        <v>38</v>
      </c>
      <c r="B16" s="27" t="s">
        <v>39</v>
      </c>
      <c r="C16" s="27" t="s">
        <v>40</v>
      </c>
      <c r="D16" s="28">
        <v>17500</v>
      </c>
      <c r="E16" s="28">
        <v>337.05</v>
      </c>
      <c r="F16" s="29">
        <v>2.4471219351528326E-2</v>
      </c>
      <c r="G16" s="30"/>
      <c r="H16" s="30"/>
      <c r="I16" s="25"/>
      <c r="J16" t="str">
        <f t="shared" si="0"/>
        <v/>
      </c>
    </row>
    <row r="17" spans="1:10" x14ac:dyDescent="0.35">
      <c r="A17" s="27" t="s">
        <v>41</v>
      </c>
      <c r="B17" s="27" t="s">
        <v>42</v>
      </c>
      <c r="C17" s="27" t="s">
        <v>16</v>
      </c>
      <c r="D17" s="28">
        <v>408100</v>
      </c>
      <c r="E17" s="28">
        <v>332.35664000000003</v>
      </c>
      <c r="F17" s="29">
        <v>2.4130462069060773E-2</v>
      </c>
      <c r="G17" s="30"/>
      <c r="H17" s="30"/>
      <c r="I17" s="25"/>
      <c r="J17" t="str">
        <f t="shared" si="0"/>
        <v/>
      </c>
    </row>
    <row r="18" spans="1:10" x14ac:dyDescent="0.35">
      <c r="A18" s="27" t="s">
        <v>43</v>
      </c>
      <c r="B18" s="27" t="s">
        <v>44</v>
      </c>
      <c r="C18" s="27" t="s">
        <v>45</v>
      </c>
      <c r="D18" s="28">
        <v>77500</v>
      </c>
      <c r="E18" s="28">
        <v>286.98250000000002</v>
      </c>
      <c r="F18" s="29">
        <v>2.0836112468624768E-2</v>
      </c>
      <c r="G18" s="30"/>
      <c r="H18" s="30"/>
      <c r="I18" s="25"/>
      <c r="J18" t="str">
        <f t="shared" si="0"/>
        <v/>
      </c>
    </row>
    <row r="19" spans="1:10" x14ac:dyDescent="0.35">
      <c r="A19" s="27" t="s">
        <v>46</v>
      </c>
      <c r="B19" s="27" t="s">
        <v>47</v>
      </c>
      <c r="C19" s="27" t="s">
        <v>28</v>
      </c>
      <c r="D19" s="28">
        <v>64600</v>
      </c>
      <c r="E19" s="28">
        <v>241.0872</v>
      </c>
      <c r="F19" s="29">
        <v>1.7503924503918647E-2</v>
      </c>
      <c r="G19" s="30"/>
      <c r="H19" s="30"/>
      <c r="I19" s="25"/>
      <c r="J19" t="str">
        <f t="shared" si="0"/>
        <v/>
      </c>
    </row>
    <row r="20" spans="1:10" x14ac:dyDescent="0.35">
      <c r="A20" s="27" t="s">
        <v>48</v>
      </c>
      <c r="B20" s="27" t="s">
        <v>49</v>
      </c>
      <c r="C20" s="27" t="s">
        <v>50</v>
      </c>
      <c r="D20" s="28">
        <v>6798</v>
      </c>
      <c r="E20" s="28">
        <v>197.373132</v>
      </c>
      <c r="F20" s="29">
        <v>1.4330102973654221E-2</v>
      </c>
      <c r="G20" s="30"/>
      <c r="H20" s="30"/>
      <c r="I20" s="25"/>
      <c r="J20" t="str">
        <f t="shared" si="0"/>
        <v/>
      </c>
    </row>
    <row r="21" spans="1:10" x14ac:dyDescent="0.35">
      <c r="A21" s="27" t="s">
        <v>51</v>
      </c>
      <c r="B21" s="27" t="s">
        <v>52</v>
      </c>
      <c r="C21" s="27" t="s">
        <v>16</v>
      </c>
      <c r="D21" s="28">
        <v>47625</v>
      </c>
      <c r="E21" s="28">
        <v>192.0954375</v>
      </c>
      <c r="F21" s="29">
        <v>1.3946920597805371E-2</v>
      </c>
      <c r="G21" s="30"/>
      <c r="H21" s="30"/>
      <c r="I21" s="25"/>
      <c r="J21" t="str">
        <f t="shared" si="0"/>
        <v/>
      </c>
    </row>
    <row r="22" spans="1:10" x14ac:dyDescent="0.35">
      <c r="A22" s="27" t="s">
        <v>53</v>
      </c>
      <c r="B22" s="27" t="s">
        <v>54</v>
      </c>
      <c r="C22" s="27" t="s">
        <v>16</v>
      </c>
      <c r="D22" s="28">
        <v>808600</v>
      </c>
      <c r="E22" s="28">
        <v>169.40170000000001</v>
      </c>
      <c r="F22" s="29">
        <v>1.2299261709603311E-2</v>
      </c>
      <c r="G22" s="30"/>
      <c r="H22" s="30"/>
      <c r="I22" s="25"/>
      <c r="J22" t="str">
        <f t="shared" si="0"/>
        <v/>
      </c>
    </row>
    <row r="23" spans="1:10" x14ac:dyDescent="0.35">
      <c r="A23" s="27" t="s">
        <v>55</v>
      </c>
      <c r="B23" s="27" t="s">
        <v>56</v>
      </c>
      <c r="C23" s="27" t="s">
        <v>40</v>
      </c>
      <c r="D23" s="28">
        <v>98400</v>
      </c>
      <c r="E23" s="28">
        <v>160.64784</v>
      </c>
      <c r="F23" s="29">
        <v>1.1663695389376135E-2</v>
      </c>
      <c r="G23" s="30"/>
      <c r="H23" s="30"/>
      <c r="I23" s="25"/>
      <c r="J23" t="str">
        <f t="shared" si="0"/>
        <v/>
      </c>
    </row>
    <row r="24" spans="1:10" x14ac:dyDescent="0.35">
      <c r="A24" s="27" t="s">
        <v>57</v>
      </c>
      <c r="B24" s="27" t="s">
        <v>58</v>
      </c>
      <c r="C24" s="27" t="s">
        <v>59</v>
      </c>
      <c r="D24" s="28">
        <v>33600</v>
      </c>
      <c r="E24" s="28">
        <v>132.78720000000001</v>
      </c>
      <c r="F24" s="29">
        <v>9.6408980812201818E-3</v>
      </c>
      <c r="G24" s="30"/>
      <c r="H24" s="30"/>
      <c r="I24" s="25"/>
      <c r="J24" t="str">
        <f t="shared" si="0"/>
        <v/>
      </c>
    </row>
    <row r="25" spans="1:10" x14ac:dyDescent="0.35">
      <c r="A25" s="27" t="s">
        <v>60</v>
      </c>
      <c r="B25" s="27" t="s">
        <v>61</v>
      </c>
      <c r="C25" s="27" t="s">
        <v>37</v>
      </c>
      <c r="D25" s="28">
        <v>8100</v>
      </c>
      <c r="E25" s="28">
        <v>106.48260000000001</v>
      </c>
      <c r="F25" s="29">
        <v>7.7310756912062012E-3</v>
      </c>
      <c r="G25" s="30"/>
      <c r="H25" s="30"/>
      <c r="I25" s="25"/>
      <c r="J25" t="str">
        <f t="shared" si="0"/>
        <v/>
      </c>
    </row>
    <row r="26" spans="1:10" x14ac:dyDescent="0.35">
      <c r="A26" s="27" t="s">
        <v>62</v>
      </c>
      <c r="B26" s="27" t="s">
        <v>63</v>
      </c>
      <c r="C26" s="27" t="s">
        <v>59</v>
      </c>
      <c r="D26" s="28">
        <v>19800</v>
      </c>
      <c r="E26" s="28">
        <v>103.19759999999999</v>
      </c>
      <c r="F26" s="29">
        <v>7.4925711501298911E-3</v>
      </c>
      <c r="G26" s="30"/>
      <c r="H26" s="30"/>
      <c r="I26" s="25"/>
      <c r="J26" t="str">
        <f t="shared" si="0"/>
        <v/>
      </c>
    </row>
    <row r="27" spans="1:10" x14ac:dyDescent="0.35">
      <c r="A27" s="27" t="s">
        <v>64</v>
      </c>
      <c r="B27" s="27" t="s">
        <v>65</v>
      </c>
      <c r="C27" s="27" t="s">
        <v>66</v>
      </c>
      <c r="D27" s="28">
        <v>23750</v>
      </c>
      <c r="E27" s="28">
        <v>90.273750000000007</v>
      </c>
      <c r="F27" s="29">
        <v>6.5542463668151023E-3</v>
      </c>
      <c r="G27" s="30"/>
      <c r="H27" s="30"/>
      <c r="I27" s="25"/>
      <c r="J27" t="str">
        <f t="shared" si="0"/>
        <v/>
      </c>
    </row>
    <row r="28" spans="1:10" x14ac:dyDescent="0.35">
      <c r="A28" s="27" t="s">
        <v>67</v>
      </c>
      <c r="B28" s="27" t="s">
        <v>68</v>
      </c>
      <c r="C28" s="27" t="s">
        <v>69</v>
      </c>
      <c r="D28" s="28">
        <v>27650</v>
      </c>
      <c r="E28" s="28">
        <v>83.834800000000001</v>
      </c>
      <c r="F28" s="29">
        <v>6.0867520548628009E-3</v>
      </c>
      <c r="G28" s="30"/>
      <c r="H28" s="30"/>
      <c r="I28" s="25"/>
      <c r="J28" t="str">
        <f t="shared" si="0"/>
        <v/>
      </c>
    </row>
    <row r="29" spans="1:10" x14ac:dyDescent="0.35">
      <c r="A29" s="27" t="s">
        <v>70</v>
      </c>
      <c r="B29" s="27" t="s">
        <v>71</v>
      </c>
      <c r="C29" s="27" t="s">
        <v>28</v>
      </c>
      <c r="D29" s="28">
        <v>4750</v>
      </c>
      <c r="E29" s="28">
        <v>83.457499999999996</v>
      </c>
      <c r="F29" s="29">
        <v>6.059358519597019E-3</v>
      </c>
      <c r="G29" s="30"/>
      <c r="H29" s="30"/>
      <c r="I29" s="25"/>
      <c r="J29" t="str">
        <f t="shared" si="0"/>
        <v/>
      </c>
    </row>
    <row r="30" spans="1:10" x14ac:dyDescent="0.35">
      <c r="A30" s="27" t="s">
        <v>72</v>
      </c>
      <c r="B30" s="27" t="s">
        <v>73</v>
      </c>
      <c r="C30" s="27" t="s">
        <v>74</v>
      </c>
      <c r="D30" s="28">
        <v>9600</v>
      </c>
      <c r="E30" s="28">
        <v>75.456000000000003</v>
      </c>
      <c r="F30" s="29">
        <v>5.478416636667917E-3</v>
      </c>
      <c r="G30" s="30"/>
      <c r="H30" s="30"/>
      <c r="I30" s="25"/>
      <c r="J30" t="str">
        <f t="shared" si="0"/>
        <v/>
      </c>
    </row>
    <row r="31" spans="1:10" x14ac:dyDescent="0.35">
      <c r="A31" s="27" t="s">
        <v>75</v>
      </c>
      <c r="B31" s="27" t="s">
        <v>76</v>
      </c>
      <c r="C31" s="27" t="s">
        <v>77</v>
      </c>
      <c r="D31" s="28">
        <v>8000</v>
      </c>
      <c r="E31" s="28">
        <v>58.292000000000002</v>
      </c>
      <c r="F31" s="29">
        <v>4.2322394850594549E-3</v>
      </c>
      <c r="G31" s="30"/>
      <c r="H31" s="30"/>
      <c r="I31" s="25"/>
      <c r="J31" t="str">
        <f t="shared" si="0"/>
        <v/>
      </c>
    </row>
    <row r="32" spans="1:10" x14ac:dyDescent="0.35">
      <c r="A32" s="27" t="s">
        <v>78</v>
      </c>
      <c r="B32" s="27" t="s">
        <v>79</v>
      </c>
      <c r="C32" s="27" t="s">
        <v>59</v>
      </c>
      <c r="D32" s="28">
        <v>4000</v>
      </c>
      <c r="E32" s="28">
        <v>54.936</v>
      </c>
      <c r="F32" s="29">
        <v>3.9885800513145232E-3</v>
      </c>
      <c r="G32" s="30"/>
      <c r="H32" s="30"/>
      <c r="I32" s="25"/>
      <c r="J32" t="str">
        <f t="shared" si="0"/>
        <v/>
      </c>
    </row>
    <row r="33" spans="1:10" x14ac:dyDescent="0.35">
      <c r="A33" s="27" t="s">
        <v>80</v>
      </c>
      <c r="B33" s="27" t="s">
        <v>81</v>
      </c>
      <c r="C33" s="27" t="s">
        <v>69</v>
      </c>
      <c r="D33" s="28">
        <v>4500</v>
      </c>
      <c r="E33" s="28">
        <v>53.414999999999999</v>
      </c>
      <c r="F33" s="29">
        <v>3.8781491816106974E-3</v>
      </c>
      <c r="G33" s="30"/>
      <c r="H33" s="30"/>
      <c r="I33" s="25"/>
      <c r="J33" t="str">
        <f t="shared" si="0"/>
        <v/>
      </c>
    </row>
    <row r="34" spans="1:10" x14ac:dyDescent="0.35">
      <c r="A34" s="27" t="s">
        <v>82</v>
      </c>
      <c r="B34" s="27" t="s">
        <v>83</v>
      </c>
      <c r="C34" s="27" t="s">
        <v>16</v>
      </c>
      <c r="D34" s="28">
        <v>65000</v>
      </c>
      <c r="E34" s="28">
        <v>51.590499999999999</v>
      </c>
      <c r="F34" s="29">
        <v>3.7456829608515712E-3</v>
      </c>
      <c r="G34" s="30"/>
      <c r="H34" s="30"/>
      <c r="I34" s="25"/>
      <c r="J34" t="str">
        <f t="shared" si="0"/>
        <v/>
      </c>
    </row>
    <row r="35" spans="1:10" x14ac:dyDescent="0.35">
      <c r="A35" s="27" t="s">
        <v>84</v>
      </c>
      <c r="B35" s="27" t="s">
        <v>85</v>
      </c>
      <c r="C35" s="27" t="s">
        <v>86</v>
      </c>
      <c r="D35" s="28">
        <v>120000</v>
      </c>
      <c r="E35" s="28">
        <v>51.095999999999997</v>
      </c>
      <c r="F35" s="29">
        <v>3.7097802224764615E-3</v>
      </c>
      <c r="G35" s="30"/>
      <c r="H35" s="30"/>
      <c r="I35" s="25"/>
      <c r="J35" t="str">
        <f t="shared" si="0"/>
        <v/>
      </c>
    </row>
    <row r="36" spans="1:10" x14ac:dyDescent="0.35">
      <c r="A36" s="27" t="s">
        <v>87</v>
      </c>
      <c r="B36" s="27" t="s">
        <v>88</v>
      </c>
      <c r="C36" s="27" t="s">
        <v>89</v>
      </c>
      <c r="D36" s="28">
        <v>65000</v>
      </c>
      <c r="E36" s="28">
        <v>51.024999999999999</v>
      </c>
      <c r="F36" s="29">
        <v>3.7046253298078412E-3</v>
      </c>
      <c r="G36" s="30"/>
      <c r="H36" s="30"/>
      <c r="I36" s="25"/>
      <c r="J36" t="str">
        <f t="shared" si="0"/>
        <v/>
      </c>
    </row>
    <row r="37" spans="1:10" x14ac:dyDescent="0.35">
      <c r="A37" s="27" t="s">
        <v>90</v>
      </c>
      <c r="B37" s="27" t="s">
        <v>91</v>
      </c>
      <c r="C37" s="27" t="s">
        <v>92</v>
      </c>
      <c r="D37" s="28">
        <v>5250</v>
      </c>
      <c r="E37" s="28">
        <v>50.368499999999997</v>
      </c>
      <c r="F37" s="29">
        <v>3.6569607236536256E-3</v>
      </c>
      <c r="G37" s="30"/>
      <c r="H37" s="30"/>
      <c r="I37" s="25"/>
      <c r="J37" t="str">
        <f t="shared" si="0"/>
        <v/>
      </c>
    </row>
    <row r="38" spans="1:10" x14ac:dyDescent="0.35">
      <c r="A38" s="27" t="s">
        <v>93</v>
      </c>
      <c r="B38" s="27" t="s">
        <v>94</v>
      </c>
      <c r="C38" s="27" t="s">
        <v>95</v>
      </c>
      <c r="D38" s="28">
        <v>6200</v>
      </c>
      <c r="E38" s="28">
        <v>47.74</v>
      </c>
      <c r="F38" s="29">
        <v>3.4661207887315302E-3</v>
      </c>
      <c r="G38" s="30"/>
      <c r="H38" s="30"/>
      <c r="I38" s="25"/>
      <c r="J38" t="str">
        <f t="shared" si="0"/>
        <v/>
      </c>
    </row>
    <row r="39" spans="1:10" x14ac:dyDescent="0.35">
      <c r="A39" s="27" t="s">
        <v>96</v>
      </c>
      <c r="B39" s="27" t="s">
        <v>97</v>
      </c>
      <c r="C39" s="27" t="s">
        <v>16</v>
      </c>
      <c r="D39" s="28">
        <v>20475</v>
      </c>
      <c r="E39" s="28">
        <v>47.205112499999998</v>
      </c>
      <c r="F39" s="29">
        <v>3.4272857513753799E-3</v>
      </c>
      <c r="G39" s="30"/>
      <c r="H39" s="30"/>
      <c r="I39" s="25"/>
      <c r="J39" t="str">
        <f t="shared" si="0"/>
        <v/>
      </c>
    </row>
    <row r="40" spans="1:10" x14ac:dyDescent="0.35">
      <c r="A40" s="27" t="s">
        <v>98</v>
      </c>
      <c r="B40" s="27" t="s">
        <v>99</v>
      </c>
      <c r="C40" s="27" t="s">
        <v>100</v>
      </c>
      <c r="D40" s="28">
        <v>43500</v>
      </c>
      <c r="E40" s="28">
        <v>46.545000000000002</v>
      </c>
      <c r="F40" s="29">
        <v>3.3793588628301023E-3</v>
      </c>
      <c r="G40" s="30"/>
      <c r="H40" s="30"/>
      <c r="I40" s="25"/>
      <c r="J40" t="str">
        <f t="shared" si="0"/>
        <v/>
      </c>
    </row>
    <row r="41" spans="1:10" x14ac:dyDescent="0.35">
      <c r="A41" s="27" t="s">
        <v>101</v>
      </c>
      <c r="B41" s="27" t="s">
        <v>102</v>
      </c>
      <c r="C41" s="27" t="s">
        <v>103</v>
      </c>
      <c r="D41" s="28">
        <v>10200</v>
      </c>
      <c r="E41" s="28">
        <v>44.064</v>
      </c>
      <c r="F41" s="29">
        <v>3.1992280359167606E-3</v>
      </c>
      <c r="G41" s="30"/>
      <c r="H41" s="30"/>
      <c r="I41" s="25"/>
      <c r="J41" t="str">
        <f t="shared" si="0"/>
        <v/>
      </c>
    </row>
    <row r="42" spans="1:10" x14ac:dyDescent="0.35">
      <c r="A42" s="27" t="s">
        <v>104</v>
      </c>
      <c r="B42" s="27" t="s">
        <v>105</v>
      </c>
      <c r="C42" s="27" t="s">
        <v>106</v>
      </c>
      <c r="D42" s="28">
        <v>19350</v>
      </c>
      <c r="E42" s="28">
        <v>40.377645000000001</v>
      </c>
      <c r="F42" s="29">
        <v>2.9315834674177154E-3</v>
      </c>
      <c r="G42" s="30"/>
      <c r="H42" s="30"/>
      <c r="I42" s="25"/>
      <c r="J42" t="str">
        <f t="shared" si="0"/>
        <v/>
      </c>
    </row>
    <row r="43" spans="1:10" x14ac:dyDescent="0.35">
      <c r="A43" s="27" t="s">
        <v>107</v>
      </c>
      <c r="B43" s="27" t="s">
        <v>108</v>
      </c>
      <c r="C43" s="27" t="s">
        <v>109</v>
      </c>
      <c r="D43" s="28">
        <v>41850</v>
      </c>
      <c r="E43" s="28">
        <v>39.820275000000002</v>
      </c>
      <c r="F43" s="29">
        <v>2.8911161078866033E-3</v>
      </c>
      <c r="G43" s="30"/>
      <c r="H43" s="30"/>
      <c r="I43" s="25"/>
      <c r="J43" t="str">
        <f t="shared" si="0"/>
        <v/>
      </c>
    </row>
    <row r="44" spans="1:10" x14ac:dyDescent="0.35">
      <c r="A44" s="27" t="s">
        <v>110</v>
      </c>
      <c r="B44" s="27" t="s">
        <v>111</v>
      </c>
      <c r="C44" s="27" t="s">
        <v>16</v>
      </c>
      <c r="D44" s="28">
        <v>21600</v>
      </c>
      <c r="E44" s="28">
        <v>38.497680000000003</v>
      </c>
      <c r="F44" s="29">
        <v>2.7950902590266878E-3</v>
      </c>
      <c r="G44" s="30"/>
      <c r="H44" s="30"/>
      <c r="I44" s="25"/>
      <c r="J44" t="str">
        <f t="shared" si="0"/>
        <v/>
      </c>
    </row>
    <row r="45" spans="1:10" x14ac:dyDescent="0.35">
      <c r="A45" s="27" t="s">
        <v>112</v>
      </c>
      <c r="B45" s="27" t="s">
        <v>113</v>
      </c>
      <c r="C45" s="27" t="s">
        <v>66</v>
      </c>
      <c r="D45" s="28">
        <v>4500</v>
      </c>
      <c r="E45" s="28">
        <v>38.25</v>
      </c>
      <c r="F45" s="29">
        <v>2.7771076700666324E-3</v>
      </c>
      <c r="G45" s="30"/>
      <c r="H45" s="30"/>
      <c r="I45" s="25"/>
      <c r="J45" t="str">
        <f t="shared" si="0"/>
        <v/>
      </c>
    </row>
    <row r="46" spans="1:10" x14ac:dyDescent="0.35">
      <c r="A46" s="27" t="s">
        <v>114</v>
      </c>
      <c r="B46" s="27" t="s">
        <v>115</v>
      </c>
      <c r="C46" s="27" t="s">
        <v>92</v>
      </c>
      <c r="D46" s="28">
        <v>4800</v>
      </c>
      <c r="E46" s="28">
        <v>27.746400000000001</v>
      </c>
      <c r="F46" s="29">
        <v>2.0145030132480211E-3</v>
      </c>
      <c r="G46" s="30"/>
      <c r="H46" s="30"/>
      <c r="I46" s="25"/>
      <c r="J46" t="str">
        <f t="shared" si="0"/>
        <v/>
      </c>
    </row>
    <row r="47" spans="1:10" x14ac:dyDescent="0.35">
      <c r="A47" s="27" t="s">
        <v>116</v>
      </c>
      <c r="B47" s="27" t="s">
        <v>117</v>
      </c>
      <c r="C47" s="27" t="s">
        <v>92</v>
      </c>
      <c r="D47" s="28">
        <v>11750</v>
      </c>
      <c r="E47" s="28">
        <v>25.4834</v>
      </c>
      <c r="F47" s="29">
        <v>1.8501998849510071E-3</v>
      </c>
      <c r="G47" s="30"/>
      <c r="H47" s="30"/>
      <c r="I47" s="25"/>
      <c r="J47" t="str">
        <f t="shared" si="0"/>
        <v/>
      </c>
    </row>
    <row r="48" spans="1:10" x14ac:dyDescent="0.35">
      <c r="A48" s="27" t="s">
        <v>118</v>
      </c>
      <c r="B48" s="27" t="s">
        <v>119</v>
      </c>
      <c r="C48" s="27" t="s">
        <v>16</v>
      </c>
      <c r="D48" s="28">
        <v>4000</v>
      </c>
      <c r="E48" s="28">
        <v>16.68</v>
      </c>
      <c r="F48" s="29">
        <v>1.2110367565153315E-3</v>
      </c>
      <c r="G48" s="30"/>
      <c r="H48" s="30"/>
      <c r="I48" s="25"/>
      <c r="J48" t="str">
        <f t="shared" si="0"/>
        <v/>
      </c>
    </row>
    <row r="49" spans="1:10" x14ac:dyDescent="0.35">
      <c r="A49" s="27" t="s">
        <v>120</v>
      </c>
      <c r="B49" s="27" t="s">
        <v>121</v>
      </c>
      <c r="C49" s="27" t="s">
        <v>122</v>
      </c>
      <c r="D49" s="28">
        <v>200</v>
      </c>
      <c r="E49" s="28">
        <v>9.52</v>
      </c>
      <c r="F49" s="29">
        <v>6.911912423276952E-4</v>
      </c>
      <c r="G49" s="30"/>
      <c r="H49" s="30"/>
      <c r="I49" s="25"/>
      <c r="J49" t="str">
        <f t="shared" si="0"/>
        <v/>
      </c>
    </row>
    <row r="50" spans="1:10" x14ac:dyDescent="0.35">
      <c r="A50" s="31"/>
      <c r="B50" s="21" t="s">
        <v>123</v>
      </c>
      <c r="C50" s="31"/>
      <c r="D50" s="32"/>
      <c r="E50" s="33">
        <v>9477.5257370000018</v>
      </c>
      <c r="F50" s="34">
        <v>0.68810743575102296</v>
      </c>
      <c r="G50" s="35"/>
      <c r="H50" s="36"/>
      <c r="I50" s="25"/>
    </row>
    <row r="51" spans="1:10" x14ac:dyDescent="0.35">
      <c r="A51" s="20"/>
      <c r="B51" s="21" t="s">
        <v>124</v>
      </c>
      <c r="C51" s="20"/>
      <c r="D51" s="22"/>
      <c r="E51" s="26" t="s">
        <v>125</v>
      </c>
      <c r="F51" s="26" t="s">
        <v>125</v>
      </c>
      <c r="G51" s="35"/>
      <c r="H51" s="36"/>
      <c r="I51" s="25"/>
    </row>
    <row r="52" spans="1:10" x14ac:dyDescent="0.35">
      <c r="A52" s="31"/>
      <c r="B52" s="21" t="s">
        <v>123</v>
      </c>
      <c r="C52" s="31"/>
      <c r="D52" s="32"/>
      <c r="E52" s="33" t="s">
        <v>125</v>
      </c>
      <c r="F52" s="34" t="s">
        <v>125</v>
      </c>
      <c r="G52" s="35"/>
      <c r="H52" s="36"/>
      <c r="I52" s="25"/>
    </row>
    <row r="53" spans="1:10" x14ac:dyDescent="0.35">
      <c r="A53" s="31"/>
      <c r="B53" s="37" t="s">
        <v>126</v>
      </c>
      <c r="C53" s="31"/>
      <c r="D53" s="32"/>
      <c r="E53" s="33" t="s">
        <v>125</v>
      </c>
      <c r="F53" s="34" t="s">
        <v>125</v>
      </c>
      <c r="G53" s="35"/>
      <c r="H53" s="36"/>
      <c r="I53" s="25"/>
    </row>
    <row r="54" spans="1:10" x14ac:dyDescent="0.35">
      <c r="A54" s="31"/>
      <c r="B54" s="21" t="s">
        <v>123</v>
      </c>
      <c r="C54" s="31"/>
      <c r="D54" s="32"/>
      <c r="E54" s="33" t="s">
        <v>125</v>
      </c>
      <c r="F54" s="34" t="s">
        <v>125</v>
      </c>
      <c r="G54" s="35"/>
      <c r="H54" s="36"/>
      <c r="I54" s="25"/>
    </row>
    <row r="55" spans="1:10" x14ac:dyDescent="0.35">
      <c r="A55" s="31"/>
      <c r="B55" s="37" t="s">
        <v>127</v>
      </c>
      <c r="C55" s="31"/>
      <c r="D55" s="32"/>
      <c r="E55" s="33" t="s">
        <v>125</v>
      </c>
      <c r="F55" s="34" t="s">
        <v>125</v>
      </c>
      <c r="G55" s="35"/>
      <c r="H55" s="36"/>
      <c r="I55" s="25"/>
    </row>
    <row r="56" spans="1:10" x14ac:dyDescent="0.35">
      <c r="A56" s="31"/>
      <c r="B56" s="21" t="s">
        <v>123</v>
      </c>
      <c r="C56" s="31"/>
      <c r="D56" s="32"/>
      <c r="E56" s="33" t="s">
        <v>125</v>
      </c>
      <c r="F56" s="34" t="s">
        <v>125</v>
      </c>
      <c r="G56" s="35"/>
      <c r="H56" s="36"/>
      <c r="I56" s="25"/>
    </row>
    <row r="57" spans="1:10" x14ac:dyDescent="0.35">
      <c r="A57" s="31"/>
      <c r="B57" s="21" t="s">
        <v>128</v>
      </c>
      <c r="C57" s="31"/>
      <c r="D57" s="32"/>
      <c r="E57" s="33">
        <v>9477.5257370000018</v>
      </c>
      <c r="F57" s="34">
        <v>0.68810743575102296</v>
      </c>
      <c r="G57" s="35"/>
      <c r="H57" s="36"/>
      <c r="I57" s="25"/>
    </row>
    <row r="58" spans="1:10" x14ac:dyDescent="0.35">
      <c r="A58" s="31"/>
      <c r="B58" s="21"/>
      <c r="C58" s="31"/>
      <c r="D58" s="32"/>
      <c r="E58" s="33"/>
      <c r="F58" s="38"/>
      <c r="G58" s="35"/>
      <c r="H58" s="36"/>
      <c r="I58" s="25"/>
    </row>
    <row r="59" spans="1:10" x14ac:dyDescent="0.35">
      <c r="A59" s="20"/>
      <c r="B59" s="21" t="s">
        <v>129</v>
      </c>
      <c r="C59" s="20"/>
      <c r="D59" s="20"/>
      <c r="E59" s="20"/>
      <c r="F59" s="39"/>
      <c r="G59" s="40"/>
      <c r="H59" s="20"/>
      <c r="I59" s="25"/>
    </row>
    <row r="60" spans="1:10" x14ac:dyDescent="0.35">
      <c r="A60" s="27"/>
      <c r="B60" s="21" t="s">
        <v>130</v>
      </c>
      <c r="C60" s="27"/>
      <c r="D60" s="41"/>
      <c r="E60" s="33" t="s">
        <v>125</v>
      </c>
      <c r="F60" s="42" t="s">
        <v>125</v>
      </c>
      <c r="G60" s="25"/>
      <c r="H60" s="27"/>
      <c r="I60" s="25"/>
    </row>
    <row r="61" spans="1:10" x14ac:dyDescent="0.35">
      <c r="A61" s="20"/>
      <c r="B61" s="21" t="s">
        <v>123</v>
      </c>
      <c r="C61" s="20"/>
      <c r="D61" s="22"/>
      <c r="E61" s="43" t="s">
        <v>125</v>
      </c>
      <c r="F61" s="34" t="s">
        <v>125</v>
      </c>
      <c r="G61" s="44"/>
      <c r="H61" s="34"/>
      <c r="I61" s="25"/>
    </row>
    <row r="62" spans="1:10" x14ac:dyDescent="0.35">
      <c r="A62" s="31"/>
      <c r="B62" s="21" t="s">
        <v>131</v>
      </c>
      <c r="C62" s="31"/>
      <c r="D62" s="32"/>
      <c r="E62" s="26" t="s">
        <v>125</v>
      </c>
      <c r="F62" s="26" t="s">
        <v>125</v>
      </c>
      <c r="G62" s="44"/>
      <c r="H62" s="34"/>
      <c r="I62" s="25"/>
    </row>
    <row r="63" spans="1:10" x14ac:dyDescent="0.35">
      <c r="A63" s="45"/>
      <c r="B63" s="21" t="s">
        <v>123</v>
      </c>
      <c r="C63" s="45"/>
      <c r="D63" s="45"/>
      <c r="E63" s="43" t="s">
        <v>125</v>
      </c>
      <c r="F63" s="34" t="s">
        <v>125</v>
      </c>
      <c r="G63" s="46"/>
      <c r="H63" s="45"/>
      <c r="I63" s="25"/>
    </row>
    <row r="64" spans="1:10" x14ac:dyDescent="0.35">
      <c r="A64" s="45"/>
      <c r="B64" s="21" t="s">
        <v>132</v>
      </c>
      <c r="C64" s="45"/>
      <c r="D64" s="46"/>
      <c r="E64" s="26" t="s">
        <v>125</v>
      </c>
      <c r="F64" s="26" t="s">
        <v>125</v>
      </c>
      <c r="G64" s="47"/>
      <c r="H64" s="47"/>
      <c r="I64" s="25"/>
    </row>
    <row r="65" spans="1:9" x14ac:dyDescent="0.35">
      <c r="A65" s="31"/>
      <c r="B65" s="21" t="s">
        <v>123</v>
      </c>
      <c r="C65" s="31"/>
      <c r="D65" s="32"/>
      <c r="E65" s="43" t="s">
        <v>125</v>
      </c>
      <c r="F65" s="34" t="s">
        <v>125</v>
      </c>
      <c r="G65" s="48"/>
      <c r="H65" s="49"/>
      <c r="I65" s="25"/>
    </row>
    <row r="66" spans="1:9" x14ac:dyDescent="0.35">
      <c r="A66" s="31"/>
      <c r="B66" s="21" t="s">
        <v>133</v>
      </c>
      <c r="C66" s="31"/>
      <c r="D66" s="32"/>
      <c r="E66" s="26" t="s">
        <v>125</v>
      </c>
      <c r="F66" s="26" t="s">
        <v>125</v>
      </c>
      <c r="G66" s="48"/>
      <c r="H66" s="49"/>
      <c r="I66" s="25"/>
    </row>
    <row r="67" spans="1:9" x14ac:dyDescent="0.35">
      <c r="A67" s="31"/>
      <c r="B67" s="21" t="s">
        <v>123</v>
      </c>
      <c r="C67" s="31"/>
      <c r="D67" s="32"/>
      <c r="E67" s="43" t="s">
        <v>125</v>
      </c>
      <c r="F67" s="34" t="s">
        <v>125</v>
      </c>
      <c r="G67" s="44"/>
      <c r="H67" s="34"/>
      <c r="I67" s="25"/>
    </row>
    <row r="68" spans="1:9" x14ac:dyDescent="0.35">
      <c r="A68" s="31"/>
      <c r="B68" s="50" t="s">
        <v>128</v>
      </c>
      <c r="C68" s="31"/>
      <c r="D68" s="32"/>
      <c r="E68" s="43" t="s">
        <v>125</v>
      </c>
      <c r="F68" s="34" t="s">
        <v>125</v>
      </c>
      <c r="G68" s="44"/>
      <c r="H68" s="34"/>
      <c r="I68" s="25"/>
    </row>
    <row r="69" spans="1:9" x14ac:dyDescent="0.35">
      <c r="A69" s="31"/>
      <c r="B69" s="50"/>
      <c r="C69" s="31"/>
      <c r="D69" s="32"/>
      <c r="E69" s="43"/>
      <c r="F69" s="34"/>
      <c r="G69" s="44"/>
      <c r="H69" s="34"/>
      <c r="I69" s="25"/>
    </row>
    <row r="70" spans="1:9" x14ac:dyDescent="0.35">
      <c r="A70" s="31"/>
      <c r="B70" s="50" t="s">
        <v>134</v>
      </c>
      <c r="C70" s="31"/>
      <c r="D70" s="32"/>
      <c r="E70" s="43"/>
      <c r="F70" s="34"/>
      <c r="G70" s="44"/>
      <c r="H70" s="34"/>
      <c r="I70" s="25"/>
    </row>
    <row r="71" spans="1:9" x14ac:dyDescent="0.35">
      <c r="A71" s="31"/>
      <c r="B71" s="50" t="s">
        <v>128</v>
      </c>
      <c r="C71" s="31"/>
      <c r="D71" s="32"/>
      <c r="E71" s="43" t="s">
        <v>125</v>
      </c>
      <c r="F71" s="51" t="s">
        <v>125</v>
      </c>
      <c r="G71" s="44"/>
      <c r="H71" s="34"/>
      <c r="I71" s="25"/>
    </row>
    <row r="72" spans="1:9" x14ac:dyDescent="0.35">
      <c r="A72" s="45"/>
      <c r="B72" s="45"/>
      <c r="C72" s="45"/>
      <c r="D72" s="52"/>
      <c r="E72" s="52"/>
      <c r="F72" s="53"/>
      <c r="G72" s="47"/>
      <c r="H72" s="47"/>
      <c r="I72" s="25"/>
    </row>
    <row r="73" spans="1:9" x14ac:dyDescent="0.35">
      <c r="A73" s="31"/>
      <c r="B73" s="21" t="s">
        <v>135</v>
      </c>
      <c r="C73" s="31"/>
      <c r="D73" s="32"/>
      <c r="E73" s="54"/>
      <c r="F73" s="42"/>
      <c r="G73" s="44"/>
      <c r="H73" s="34"/>
      <c r="I73" s="25"/>
    </row>
    <row r="74" spans="1:9" x14ac:dyDescent="0.35">
      <c r="A74" s="20"/>
      <c r="B74" s="21" t="s">
        <v>136</v>
      </c>
      <c r="C74" s="20"/>
      <c r="D74" s="22"/>
      <c r="E74" s="33"/>
      <c r="F74" s="34"/>
      <c r="G74" s="24"/>
      <c r="H74" s="23"/>
      <c r="I74" s="25"/>
    </row>
    <row r="75" spans="1:9" x14ac:dyDescent="0.35">
      <c r="A75" s="20"/>
      <c r="B75" s="27" t="s">
        <v>137</v>
      </c>
      <c r="C75" s="20"/>
      <c r="D75" s="22"/>
      <c r="E75" s="55">
        <v>750.43325000000004</v>
      </c>
      <c r="F75" s="44">
        <v>5.4484547305830869E-2</v>
      </c>
      <c r="G75" s="24" t="s">
        <v>138</v>
      </c>
      <c r="H75" s="23"/>
      <c r="I75" s="25"/>
    </row>
    <row r="76" spans="1:9" x14ac:dyDescent="0.35">
      <c r="A76" s="20"/>
      <c r="B76" s="21" t="s">
        <v>123</v>
      </c>
      <c r="C76" s="20"/>
      <c r="D76" s="22"/>
      <c r="E76" s="33">
        <v>750.43325000000004</v>
      </c>
      <c r="F76" s="34">
        <v>5.4484547305830869E-2</v>
      </c>
      <c r="G76" s="24"/>
      <c r="H76" s="23"/>
      <c r="I76" s="25"/>
    </row>
    <row r="77" spans="1:9" x14ac:dyDescent="0.35">
      <c r="A77" s="20"/>
      <c r="B77" s="21" t="s">
        <v>139</v>
      </c>
      <c r="C77" s="20"/>
      <c r="D77" s="22"/>
      <c r="E77" s="33"/>
      <c r="F77" s="34"/>
      <c r="G77" s="24"/>
      <c r="H77" s="23"/>
      <c r="I77" s="25"/>
    </row>
    <row r="78" spans="1:9" x14ac:dyDescent="0.35">
      <c r="A78" s="20"/>
      <c r="B78" s="21" t="s">
        <v>123</v>
      </c>
      <c r="C78" s="20"/>
      <c r="D78" s="22"/>
      <c r="E78" s="33" t="s">
        <v>125</v>
      </c>
      <c r="F78" s="34" t="s">
        <v>125</v>
      </c>
      <c r="G78" s="24"/>
      <c r="H78" s="23"/>
      <c r="I78" s="25"/>
    </row>
    <row r="79" spans="1:9" x14ac:dyDescent="0.35">
      <c r="A79" s="31"/>
      <c r="B79" s="31" t="s">
        <v>128</v>
      </c>
      <c r="C79" s="31"/>
      <c r="D79" s="32"/>
      <c r="E79" s="33">
        <v>750.43325000000004</v>
      </c>
      <c r="F79" s="34">
        <v>5.4484547305830869E-2</v>
      </c>
      <c r="G79" s="44"/>
      <c r="H79" s="34"/>
      <c r="I79" s="25"/>
    </row>
    <row r="80" spans="1:9" x14ac:dyDescent="0.35">
      <c r="A80" s="31"/>
      <c r="B80" s="31"/>
      <c r="C80" s="31"/>
      <c r="D80" s="32"/>
      <c r="E80" s="33"/>
      <c r="F80" s="34"/>
      <c r="G80" s="44"/>
      <c r="H80" s="34"/>
      <c r="I80" s="25"/>
    </row>
    <row r="81" spans="1:9" x14ac:dyDescent="0.35">
      <c r="A81" s="31"/>
      <c r="B81" s="31" t="s">
        <v>140</v>
      </c>
      <c r="C81" s="31"/>
      <c r="D81" s="32"/>
      <c r="E81" s="33"/>
      <c r="F81" s="34"/>
      <c r="G81" s="44"/>
      <c r="H81" s="34"/>
      <c r="I81" s="25"/>
    </row>
    <row r="82" spans="1:9" x14ac:dyDescent="0.35">
      <c r="A82" s="31"/>
      <c r="B82" s="31" t="s">
        <v>128</v>
      </c>
      <c r="C82" s="31"/>
      <c r="D82" s="32"/>
      <c r="E82" s="33" t="s">
        <v>125</v>
      </c>
      <c r="F82" s="34" t="s">
        <v>125</v>
      </c>
      <c r="G82" s="44"/>
      <c r="H82" s="34"/>
      <c r="I82" s="25"/>
    </row>
    <row r="83" spans="1:9" x14ac:dyDescent="0.35">
      <c r="A83" s="31"/>
      <c r="B83" s="31"/>
      <c r="C83" s="31"/>
      <c r="D83" s="32"/>
      <c r="E83" s="33"/>
      <c r="F83" s="34"/>
      <c r="G83" s="44"/>
      <c r="H83" s="34"/>
      <c r="I83" s="25"/>
    </row>
    <row r="84" spans="1:9" x14ac:dyDescent="0.35">
      <c r="A84" s="31"/>
      <c r="B84" s="31"/>
      <c r="C84" s="31"/>
      <c r="D84" s="32"/>
      <c r="E84" s="32"/>
      <c r="F84" s="42"/>
      <c r="G84" s="44"/>
      <c r="H84" s="34"/>
      <c r="I84" s="25"/>
    </row>
    <row r="85" spans="1:9" x14ac:dyDescent="0.35">
      <c r="A85" s="31"/>
      <c r="B85" s="56" t="s">
        <v>141</v>
      </c>
      <c r="C85" s="31"/>
      <c r="D85" s="32"/>
      <c r="E85" s="32"/>
      <c r="F85" s="42"/>
      <c r="G85" s="44"/>
      <c r="H85" s="34"/>
      <c r="I85" s="25"/>
    </row>
    <row r="86" spans="1:9" x14ac:dyDescent="0.35">
      <c r="A86" s="27" t="s">
        <v>142</v>
      </c>
      <c r="B86" s="27" t="s">
        <v>143</v>
      </c>
      <c r="C86" s="27"/>
      <c r="D86" s="28">
        <v>324809.41899999999</v>
      </c>
      <c r="E86" s="28">
        <v>3455.2670569000002</v>
      </c>
      <c r="F86" s="29">
        <v>0.25086663126393594</v>
      </c>
      <c r="G86" s="44"/>
      <c r="H86" s="34"/>
      <c r="I86" s="25"/>
    </row>
    <row r="87" spans="1:9" x14ac:dyDescent="0.35">
      <c r="A87" s="31"/>
      <c r="B87" s="56" t="s">
        <v>128</v>
      </c>
      <c r="C87" s="31"/>
      <c r="D87" s="32"/>
      <c r="E87" s="33">
        <v>3455.2670569000002</v>
      </c>
      <c r="F87" s="34">
        <v>0.25086663126393594</v>
      </c>
      <c r="G87" s="44"/>
      <c r="H87" s="34"/>
      <c r="I87" s="25"/>
    </row>
    <row r="88" spans="1:9" x14ac:dyDescent="0.35">
      <c r="A88" s="31"/>
      <c r="B88" s="56"/>
      <c r="C88" s="31"/>
      <c r="D88" s="32"/>
      <c r="E88" s="33"/>
      <c r="F88" s="34"/>
      <c r="G88" s="44"/>
      <c r="H88" s="34"/>
      <c r="I88" s="25"/>
    </row>
    <row r="89" spans="1:9" x14ac:dyDescent="0.35">
      <c r="A89" s="31"/>
      <c r="B89" s="56" t="s">
        <v>144</v>
      </c>
      <c r="C89" s="31"/>
      <c r="D89" s="32"/>
      <c r="E89" s="32"/>
      <c r="F89" s="42"/>
      <c r="G89" s="44"/>
      <c r="H89" s="34"/>
      <c r="I89" s="25"/>
    </row>
    <row r="90" spans="1:9" x14ac:dyDescent="0.35">
      <c r="A90" s="20"/>
      <c r="B90" s="56" t="s">
        <v>145</v>
      </c>
      <c r="C90" s="20"/>
      <c r="D90" s="22"/>
      <c r="E90" s="22">
        <v>90.096615599998003</v>
      </c>
      <c r="F90" s="44">
        <v>6.5413856792101901E-3</v>
      </c>
      <c r="G90" s="44"/>
      <c r="H90" s="44"/>
      <c r="I90" s="25"/>
    </row>
    <row r="91" spans="1:9" x14ac:dyDescent="0.35">
      <c r="A91" s="31"/>
      <c r="B91" s="56" t="s">
        <v>128</v>
      </c>
      <c r="C91" s="31"/>
      <c r="D91" s="32"/>
      <c r="E91" s="32">
        <f>E90</f>
        <v>90.096615599998003</v>
      </c>
      <c r="F91" s="6">
        <f>F90</f>
        <v>6.5413856792101901E-3</v>
      </c>
      <c r="G91" s="57"/>
      <c r="H91" s="58"/>
      <c r="I91" s="25"/>
    </row>
    <row r="92" spans="1:9" x14ac:dyDescent="0.35">
      <c r="A92" s="7"/>
      <c r="B92" s="56" t="s">
        <v>146</v>
      </c>
      <c r="C92" s="7"/>
      <c r="D92" s="7"/>
      <c r="E92" s="32">
        <v>13773.3226595</v>
      </c>
      <c r="F92" s="34">
        <v>1</v>
      </c>
      <c r="G92" s="8"/>
      <c r="H92" s="7"/>
      <c r="I92" s="25"/>
    </row>
    <row r="93" spans="1:9" x14ac:dyDescent="0.35">
      <c r="A93" s="9"/>
      <c r="B93" s="59"/>
      <c r="C93" s="9"/>
      <c r="D93" s="9"/>
      <c r="E93" s="9"/>
      <c r="F93" s="9"/>
      <c r="G93" s="9"/>
      <c r="H93" s="9"/>
      <c r="I93" s="9"/>
    </row>
    <row r="94" spans="1:9" x14ac:dyDescent="0.35">
      <c r="A94" s="37" t="s">
        <v>256</v>
      </c>
      <c r="B94" s="9"/>
      <c r="C94" s="9"/>
      <c r="D94" s="9"/>
      <c r="E94" s="9"/>
      <c r="F94" s="9"/>
      <c r="G94" s="9"/>
      <c r="H94" s="9"/>
      <c r="I94" s="9"/>
    </row>
    <row r="95" spans="1:9" x14ac:dyDescent="0.35">
      <c r="A95" s="9"/>
      <c r="B95" s="9"/>
      <c r="C95" s="9"/>
      <c r="D95" s="9"/>
      <c r="E95" s="9"/>
      <c r="F95" s="9"/>
      <c r="G95" s="9"/>
      <c r="H95" s="9"/>
      <c r="I95" s="9"/>
    </row>
    <row r="96" spans="1:9" s="1" customFormat="1" x14ac:dyDescent="0.35">
      <c r="A96" s="60" t="s">
        <v>147</v>
      </c>
      <c r="B96" s="61"/>
      <c r="C96" s="61"/>
      <c r="D96" s="61"/>
      <c r="E96" s="62"/>
      <c r="F96" s="62"/>
      <c r="G96" s="63"/>
      <c r="H96" s="61"/>
      <c r="I96" s="64"/>
    </row>
    <row r="97" spans="1:9" s="1" customFormat="1" ht="12.9" customHeight="1" x14ac:dyDescent="0.35">
      <c r="A97" s="65"/>
      <c r="B97" s="65" t="s">
        <v>148</v>
      </c>
      <c r="C97" s="66"/>
      <c r="D97" s="66"/>
      <c r="E97" s="67"/>
      <c r="F97" s="68"/>
      <c r="G97" s="67"/>
      <c r="H97" s="67"/>
      <c r="I97" s="61"/>
    </row>
    <row r="98" spans="1:9" s="1" customFormat="1" x14ac:dyDescent="0.35">
      <c r="A98" s="9"/>
      <c r="B98" s="65" t="s">
        <v>149</v>
      </c>
      <c r="C98" s="61"/>
      <c r="D98" s="69" t="s">
        <v>150</v>
      </c>
      <c r="E98" s="69" t="s">
        <v>151</v>
      </c>
      <c r="F98" s="62"/>
      <c r="G98" s="63"/>
      <c r="H98" s="61"/>
      <c r="I98" s="64"/>
    </row>
    <row r="99" spans="1:9" s="1" customFormat="1" x14ac:dyDescent="0.35">
      <c r="A99" s="10">
        <v>153892</v>
      </c>
      <c r="B99" s="61" t="s">
        <v>152</v>
      </c>
      <c r="C99" s="70" t="s">
        <v>153</v>
      </c>
      <c r="D99" s="71">
        <v>10.545500000000001</v>
      </c>
      <c r="E99" s="71">
        <v>10.5509</v>
      </c>
      <c r="F99" s="62"/>
      <c r="G99" s="63"/>
      <c r="H99" s="61"/>
      <c r="I99" s="64"/>
    </row>
    <row r="100" spans="1:9" s="1" customFormat="1" x14ac:dyDescent="0.35">
      <c r="A100" s="10">
        <v>153891</v>
      </c>
      <c r="B100" s="61" t="s">
        <v>154</v>
      </c>
      <c r="C100" s="70" t="s">
        <v>153</v>
      </c>
      <c r="D100" s="71">
        <v>10.613300000000001</v>
      </c>
      <c r="E100" s="71">
        <v>10.6129</v>
      </c>
      <c r="F100" s="62"/>
      <c r="G100" s="63"/>
      <c r="H100" s="61"/>
      <c r="I100" s="64"/>
    </row>
    <row r="101" spans="1:9" s="1" customFormat="1" x14ac:dyDescent="0.35">
      <c r="A101" s="10">
        <v>153893</v>
      </c>
      <c r="B101" s="61" t="s">
        <v>155</v>
      </c>
      <c r="C101" s="70" t="s">
        <v>153</v>
      </c>
      <c r="D101" s="71">
        <v>10.6119</v>
      </c>
      <c r="E101" s="71">
        <v>10.611499999999999</v>
      </c>
      <c r="F101" s="62"/>
      <c r="G101" s="63"/>
      <c r="H101" s="61"/>
      <c r="I101" s="64"/>
    </row>
    <row r="102" spans="1:9" s="1" customFormat="1" x14ac:dyDescent="0.35">
      <c r="A102" s="10">
        <v>153894</v>
      </c>
      <c r="B102" s="61" t="s">
        <v>156</v>
      </c>
      <c r="C102" s="70" t="s">
        <v>153</v>
      </c>
      <c r="D102" s="71">
        <v>10.5451</v>
      </c>
      <c r="E102" s="71">
        <v>10.550599999999999</v>
      </c>
      <c r="F102" s="62"/>
      <c r="G102" s="63"/>
      <c r="H102" s="61"/>
      <c r="I102" s="64"/>
    </row>
    <row r="103" spans="1:9" s="1" customFormat="1" x14ac:dyDescent="0.35">
      <c r="A103" s="10"/>
      <c r="B103" s="61"/>
      <c r="C103" s="70"/>
      <c r="D103" s="70"/>
      <c r="E103" s="71"/>
      <c r="F103" s="62"/>
      <c r="G103" s="63"/>
      <c r="H103" s="61"/>
      <c r="I103" s="64"/>
    </row>
    <row r="104" spans="1:9" s="1" customFormat="1" x14ac:dyDescent="0.35">
      <c r="A104" s="61"/>
      <c r="B104" s="72" t="s">
        <v>157</v>
      </c>
      <c r="C104" s="61"/>
      <c r="D104" s="61"/>
      <c r="E104" s="62"/>
      <c r="F104" s="62"/>
      <c r="G104" s="63"/>
      <c r="H104" s="61"/>
      <c r="I104" s="64"/>
    </row>
    <row r="105" spans="1:9" s="1" customFormat="1" x14ac:dyDescent="0.35">
      <c r="A105" s="61"/>
      <c r="B105" s="72"/>
      <c r="C105" s="61"/>
      <c r="D105" s="61"/>
      <c r="E105" s="62"/>
      <c r="F105" s="62"/>
      <c r="G105" s="63"/>
      <c r="H105" s="61"/>
      <c r="I105" s="64"/>
    </row>
    <row r="106" spans="1:9" s="1" customFormat="1" x14ac:dyDescent="0.35">
      <c r="A106" s="61"/>
      <c r="B106" s="61" t="s">
        <v>158</v>
      </c>
      <c r="C106" s="61"/>
      <c r="D106" s="61"/>
      <c r="E106" s="62"/>
      <c r="F106" s="62"/>
      <c r="G106" s="63"/>
      <c r="H106" s="61"/>
      <c r="I106" s="64"/>
    </row>
    <row r="107" spans="1:9" s="1" customFormat="1" x14ac:dyDescent="0.35">
      <c r="A107" s="61"/>
      <c r="B107" s="61"/>
      <c r="C107" s="61"/>
      <c r="D107" s="61"/>
      <c r="E107" s="62"/>
      <c r="F107" s="62"/>
      <c r="G107" s="63"/>
      <c r="H107" s="61"/>
      <c r="I107" s="64"/>
    </row>
    <row r="108" spans="1:9" s="1" customFormat="1" x14ac:dyDescent="0.35">
      <c r="A108" s="61"/>
      <c r="B108" s="61" t="s">
        <v>159</v>
      </c>
      <c r="C108" s="61"/>
      <c r="D108" s="61"/>
      <c r="E108" s="61"/>
      <c r="F108" s="62"/>
      <c r="G108" s="62"/>
      <c r="H108" s="63"/>
      <c r="I108" s="61"/>
    </row>
    <row r="109" spans="1:9" s="1" customFormat="1" x14ac:dyDescent="0.35">
      <c r="A109" s="61"/>
      <c r="B109" s="61"/>
      <c r="C109" s="73"/>
      <c r="D109" s="74"/>
      <c r="E109" s="61"/>
      <c r="F109" s="62"/>
      <c r="G109" s="62"/>
      <c r="H109" s="63"/>
      <c r="I109" s="61"/>
    </row>
    <row r="110" spans="1:9" s="1" customFormat="1" x14ac:dyDescent="0.35">
      <c r="A110" s="61"/>
      <c r="B110" s="73" t="s">
        <v>160</v>
      </c>
      <c r="C110" s="73"/>
      <c r="D110" s="75"/>
      <c r="E110" s="61"/>
      <c r="F110" s="62"/>
      <c r="G110" s="62"/>
      <c r="H110" s="63"/>
      <c r="I110" s="61"/>
    </row>
    <row r="111" spans="1:9" s="1" customFormat="1" x14ac:dyDescent="0.35">
      <c r="A111" s="61"/>
      <c r="B111" s="61"/>
      <c r="C111" s="73"/>
      <c r="D111" s="75"/>
      <c r="E111" s="61"/>
      <c r="F111" s="62"/>
      <c r="G111" s="62"/>
      <c r="H111" s="63"/>
      <c r="I111" s="61"/>
    </row>
    <row r="112" spans="1:9" s="1" customFormat="1" x14ac:dyDescent="0.35">
      <c r="A112" s="61"/>
      <c r="B112" s="61" t="s">
        <v>161</v>
      </c>
      <c r="C112" s="73"/>
      <c r="D112" s="75"/>
      <c r="E112" s="61"/>
      <c r="F112" s="62"/>
      <c r="G112" s="62"/>
      <c r="H112" s="63"/>
      <c r="I112" s="61"/>
    </row>
    <row r="113" spans="1:9" s="1" customFormat="1" x14ac:dyDescent="0.35">
      <c r="A113" s="61"/>
      <c r="B113" s="61"/>
      <c r="C113" s="73"/>
      <c r="D113" s="75"/>
      <c r="E113" s="61"/>
      <c r="F113" s="62"/>
      <c r="G113" s="62"/>
      <c r="H113" s="63"/>
      <c r="I113" s="61"/>
    </row>
    <row r="114" spans="1:9" s="1" customFormat="1" x14ac:dyDescent="0.35">
      <c r="A114" s="61"/>
      <c r="B114" s="61" t="s">
        <v>162</v>
      </c>
      <c r="C114" s="65"/>
      <c r="D114" s="65"/>
      <c r="E114" s="61"/>
      <c r="F114" s="62"/>
      <c r="G114" s="62"/>
      <c r="H114" s="63"/>
      <c r="I114" s="61"/>
    </row>
    <row r="115" spans="1:9" s="1" customFormat="1" x14ac:dyDescent="0.35">
      <c r="A115" s="61"/>
      <c r="B115" s="61"/>
      <c r="C115" s="65"/>
      <c r="D115" s="65"/>
      <c r="E115" s="61"/>
      <c r="F115" s="62"/>
      <c r="G115" s="62"/>
      <c r="H115" s="63"/>
      <c r="I115" s="61"/>
    </row>
    <row r="116" spans="1:9" s="1" customFormat="1" x14ac:dyDescent="0.35">
      <c r="A116" s="61"/>
      <c r="B116" s="61" t="s">
        <v>163</v>
      </c>
      <c r="C116" s="65"/>
      <c r="D116" s="65"/>
      <c r="E116" s="61"/>
      <c r="F116" s="62"/>
      <c r="G116" s="62"/>
      <c r="H116" s="63"/>
      <c r="I116" s="61"/>
    </row>
    <row r="117" spans="1:9" s="1" customFormat="1" x14ac:dyDescent="0.35">
      <c r="A117" s="61"/>
      <c r="B117" s="61"/>
      <c r="C117" s="65"/>
      <c r="D117" s="65"/>
      <c r="E117" s="61"/>
      <c r="F117" s="62"/>
      <c r="G117" s="62"/>
      <c r="H117" s="63"/>
      <c r="I117" s="61"/>
    </row>
    <row r="118" spans="1:9" s="1" customFormat="1" x14ac:dyDescent="0.35">
      <c r="A118" s="61"/>
      <c r="B118" s="61" t="s">
        <v>164</v>
      </c>
      <c r="C118" s="65"/>
      <c r="D118" s="65"/>
      <c r="E118" s="61"/>
      <c r="F118" s="62"/>
      <c r="G118" s="62"/>
      <c r="H118" s="63"/>
      <c r="I118" s="61"/>
    </row>
    <row r="119" spans="1:9" s="1" customFormat="1" x14ac:dyDescent="0.35">
      <c r="A119" s="61"/>
      <c r="B119" s="61"/>
      <c r="C119" s="65"/>
      <c r="D119" s="65"/>
      <c r="E119" s="61"/>
      <c r="F119" s="62"/>
      <c r="G119" s="62"/>
      <c r="H119" s="63"/>
      <c r="I119" s="61"/>
    </row>
    <row r="120" spans="1:9" s="1" customFormat="1" x14ac:dyDescent="0.35">
      <c r="A120" s="61"/>
      <c r="B120" s="61" t="s">
        <v>165</v>
      </c>
      <c r="C120" s="73"/>
      <c r="D120" s="76"/>
      <c r="E120" s="61"/>
      <c r="F120" s="62"/>
      <c r="G120" s="62"/>
      <c r="H120" s="63"/>
      <c r="I120" s="61"/>
    </row>
    <row r="121" spans="1:9" s="1" customFormat="1" x14ac:dyDescent="0.35">
      <c r="A121" s="61"/>
      <c r="B121" s="61"/>
      <c r="C121" s="73"/>
      <c r="D121" s="75"/>
      <c r="E121" s="61"/>
      <c r="F121" s="62"/>
      <c r="G121" s="62"/>
      <c r="H121" s="63"/>
      <c r="I121" s="61"/>
    </row>
    <row r="122" spans="1:9" s="1" customFormat="1" x14ac:dyDescent="0.35">
      <c r="A122" s="61"/>
      <c r="B122" s="61" t="s">
        <v>166</v>
      </c>
      <c r="C122" s="73"/>
      <c r="D122" s="75"/>
      <c r="E122" s="61"/>
      <c r="F122" s="62"/>
      <c r="G122" s="62"/>
      <c r="H122" s="63"/>
      <c r="I122" s="61"/>
    </row>
    <row r="123" spans="1:9" s="1" customFormat="1" x14ac:dyDescent="0.35">
      <c r="A123" s="61"/>
      <c r="B123" s="61"/>
      <c r="C123" s="73"/>
      <c r="D123" s="75"/>
      <c r="E123" s="61"/>
      <c r="F123" s="62"/>
      <c r="G123" s="62"/>
      <c r="H123" s="63"/>
      <c r="I123" s="61"/>
    </row>
    <row r="124" spans="1:9" s="1" customFormat="1" x14ac:dyDescent="0.35">
      <c r="A124" s="61"/>
      <c r="B124" s="61" t="s">
        <v>167</v>
      </c>
      <c r="C124" s="73"/>
      <c r="D124" s="75"/>
      <c r="E124" s="61"/>
      <c r="F124" s="62"/>
      <c r="G124" s="62"/>
      <c r="H124" s="63"/>
      <c r="I124" s="61"/>
    </row>
    <row r="125" spans="1:9" s="1" customFormat="1" x14ac:dyDescent="0.35">
      <c r="A125" s="77"/>
      <c r="B125" s="72"/>
      <c r="C125" s="78"/>
      <c r="D125" s="79"/>
      <c r="E125" s="62"/>
      <c r="F125" s="62"/>
      <c r="G125" s="63"/>
      <c r="H125" s="61"/>
      <c r="I125" s="64"/>
    </row>
    <row r="126" spans="1:9" s="2" customFormat="1" ht="17.5" customHeight="1" x14ac:dyDescent="0.35">
      <c r="A126" s="9"/>
      <c r="B126" s="66" t="s">
        <v>168</v>
      </c>
      <c r="C126" s="9"/>
      <c r="D126" s="9"/>
      <c r="E126" s="9"/>
      <c r="F126" s="9"/>
      <c r="G126" s="9"/>
      <c r="H126" s="9"/>
      <c r="I126" s="9"/>
    </row>
    <row r="127" spans="1:9" s="2" customFormat="1" ht="27.5" customHeight="1" x14ac:dyDescent="0.35">
      <c r="A127" s="9"/>
      <c r="B127" s="80" t="s">
        <v>169</v>
      </c>
      <c r="C127" s="11"/>
      <c r="D127" s="11"/>
      <c r="E127" s="11"/>
      <c r="F127" s="11"/>
      <c r="G127" s="11"/>
      <c r="H127" s="11"/>
      <c r="I127" s="9"/>
    </row>
    <row r="128" spans="1:9" s="2" customFormat="1" ht="15.5" customHeight="1" x14ac:dyDescent="0.35">
      <c r="A128" s="9"/>
      <c r="B128" s="81" t="s">
        <v>170</v>
      </c>
      <c r="C128" s="9"/>
      <c r="D128" s="9"/>
      <c r="E128" s="9"/>
      <c r="F128" s="9"/>
      <c r="G128" s="9"/>
      <c r="H128" s="9"/>
      <c r="I128" s="9"/>
    </row>
    <row r="129" spans="1:9" s="2" customFormat="1" ht="66" customHeight="1" x14ac:dyDescent="0.35">
      <c r="A129" s="9"/>
      <c r="B129" s="82" t="s">
        <v>171</v>
      </c>
      <c r="C129" s="11"/>
      <c r="D129" s="11"/>
      <c r="E129" s="11"/>
      <c r="F129" s="11"/>
      <c r="G129" s="11"/>
      <c r="H129" s="11"/>
      <c r="I129" s="9"/>
    </row>
    <row r="130" spans="1:9" x14ac:dyDescent="0.35">
      <c r="A130" s="9"/>
      <c r="B130" s="9"/>
      <c r="C130" s="9"/>
      <c r="D130" s="9"/>
      <c r="E130" s="9"/>
      <c r="F130" s="9"/>
      <c r="G130" s="9"/>
      <c r="H130" s="9"/>
      <c r="I130" s="9"/>
    </row>
    <row r="131" spans="1:9" x14ac:dyDescent="0.35">
      <c r="A131" s="9"/>
      <c r="B131" s="83" t="s">
        <v>172</v>
      </c>
      <c r="C131" s="9"/>
      <c r="D131" s="9"/>
      <c r="E131" s="9"/>
      <c r="F131" s="9"/>
      <c r="G131" s="9"/>
      <c r="H131" s="9"/>
      <c r="I131" s="9"/>
    </row>
    <row r="132" spans="1:9" x14ac:dyDescent="0.35">
      <c r="A132" s="9"/>
      <c r="B132" s="9"/>
      <c r="C132" s="9"/>
      <c r="D132" s="9"/>
      <c r="E132" s="9"/>
      <c r="F132" s="9"/>
      <c r="G132" s="9"/>
      <c r="H132" s="9"/>
      <c r="I132" s="9"/>
    </row>
    <row r="133" spans="1:9" ht="43.5" x14ac:dyDescent="0.35">
      <c r="A133" s="9"/>
      <c r="B133" s="84" t="s">
        <v>173</v>
      </c>
      <c r="C133" s="85" t="s">
        <v>174</v>
      </c>
      <c r="D133" s="85" t="s">
        <v>175</v>
      </c>
      <c r="E133" s="86" t="s">
        <v>176</v>
      </c>
      <c r="F133" s="87" t="s">
        <v>177</v>
      </c>
      <c r="G133" s="9"/>
      <c r="H133" s="9"/>
      <c r="I133" s="9"/>
    </row>
    <row r="134" spans="1:9" x14ac:dyDescent="0.35">
      <c r="A134" s="9"/>
      <c r="B134" s="27" t="s">
        <v>178</v>
      </c>
      <c r="C134" s="88" t="s">
        <v>179</v>
      </c>
      <c r="D134" s="89">
        <v>1354.85</v>
      </c>
      <c r="E134" s="89">
        <v>1324.3</v>
      </c>
      <c r="F134" s="90">
        <v>43.91</v>
      </c>
      <c r="G134" s="9"/>
      <c r="H134" s="9"/>
      <c r="I134" s="9"/>
    </row>
    <row r="135" spans="1:9" x14ac:dyDescent="0.35">
      <c r="A135" s="9"/>
      <c r="B135" s="27" t="s">
        <v>180</v>
      </c>
      <c r="C135" s="88" t="s">
        <v>179</v>
      </c>
      <c r="D135" s="89">
        <v>2962.2409090000001</v>
      </c>
      <c r="E135" s="89">
        <v>2902.5</v>
      </c>
      <c r="F135" s="90">
        <v>48.38</v>
      </c>
      <c r="G135" s="9"/>
      <c r="H135" s="9"/>
      <c r="I135" s="9"/>
    </row>
    <row r="136" spans="1:9" x14ac:dyDescent="0.35">
      <c r="A136" s="9"/>
      <c r="B136" s="27" t="s">
        <v>181</v>
      </c>
      <c r="C136" s="88" t="s">
        <v>179</v>
      </c>
      <c r="D136" s="89">
        <v>1299.1788369999999</v>
      </c>
      <c r="E136" s="89">
        <v>1277.7</v>
      </c>
      <c r="F136" s="90">
        <v>106.77</v>
      </c>
      <c r="G136" s="9"/>
      <c r="H136" s="9"/>
      <c r="I136" s="9"/>
    </row>
    <row r="137" spans="1:9" x14ac:dyDescent="0.35">
      <c r="A137" s="9"/>
      <c r="B137" s="27" t="s">
        <v>182</v>
      </c>
      <c r="C137" s="88" t="s">
        <v>179</v>
      </c>
      <c r="D137" s="89">
        <v>1230.334433</v>
      </c>
      <c r="E137" s="89">
        <v>1227.8</v>
      </c>
      <c r="F137" s="90">
        <v>160.24</v>
      </c>
      <c r="G137" s="9"/>
      <c r="H137" s="9"/>
      <c r="I137" s="9"/>
    </row>
    <row r="138" spans="1:9" x14ac:dyDescent="0.35">
      <c r="A138" s="9"/>
      <c r="B138" s="27" t="s">
        <v>183</v>
      </c>
      <c r="C138" s="88" t="s">
        <v>179</v>
      </c>
      <c r="D138" s="89">
        <v>1006.542857</v>
      </c>
      <c r="E138" s="89">
        <v>965.8</v>
      </c>
      <c r="F138" s="90">
        <v>9.9600000000000009</v>
      </c>
      <c r="G138" s="9"/>
      <c r="H138" s="9"/>
      <c r="I138" s="9"/>
    </row>
    <row r="139" spans="1:9" x14ac:dyDescent="0.35">
      <c r="A139" s="9"/>
      <c r="B139" s="27" t="s">
        <v>184</v>
      </c>
      <c r="C139" s="88" t="s">
        <v>179</v>
      </c>
      <c r="D139" s="89">
        <v>187.43664999999999</v>
      </c>
      <c r="E139" s="89">
        <v>179.13</v>
      </c>
      <c r="F139" s="90">
        <v>16.079999999999998</v>
      </c>
      <c r="G139" s="9"/>
      <c r="H139" s="9"/>
      <c r="I139" s="9"/>
    </row>
    <row r="140" spans="1:9" x14ac:dyDescent="0.35">
      <c r="A140" s="9"/>
      <c r="B140" s="27" t="s">
        <v>185</v>
      </c>
      <c r="C140" s="88" t="s">
        <v>179</v>
      </c>
      <c r="D140" s="89">
        <v>235.75428600000001</v>
      </c>
      <c r="E140" s="89">
        <v>232.64</v>
      </c>
      <c r="F140" s="90">
        <v>8.66</v>
      </c>
      <c r="G140" s="9"/>
      <c r="H140" s="9"/>
      <c r="I140" s="9"/>
    </row>
    <row r="141" spans="1:9" x14ac:dyDescent="0.35">
      <c r="A141" s="9"/>
      <c r="B141" s="27" t="s">
        <v>186</v>
      </c>
      <c r="C141" s="88" t="s">
        <v>179</v>
      </c>
      <c r="D141" s="89">
        <v>83.219980000000007</v>
      </c>
      <c r="E141" s="89">
        <v>80.27</v>
      </c>
      <c r="F141" s="90">
        <v>11.8</v>
      </c>
      <c r="G141" s="9"/>
      <c r="H141" s="9"/>
      <c r="I141" s="9"/>
    </row>
    <row r="142" spans="1:9" x14ac:dyDescent="0.35">
      <c r="A142" s="9"/>
      <c r="B142" s="27" t="s">
        <v>187</v>
      </c>
      <c r="C142" s="88" t="s">
        <v>179</v>
      </c>
      <c r="D142" s="89">
        <v>2009.7256970000001</v>
      </c>
      <c r="E142" s="89">
        <v>1930.8</v>
      </c>
      <c r="F142" s="90">
        <v>67.78</v>
      </c>
      <c r="G142" s="9"/>
      <c r="H142" s="9"/>
      <c r="I142" s="9"/>
    </row>
    <row r="143" spans="1:9" x14ac:dyDescent="0.35">
      <c r="A143" s="9"/>
      <c r="B143" s="27" t="s">
        <v>188</v>
      </c>
      <c r="C143" s="88" t="s">
        <v>179</v>
      </c>
      <c r="D143" s="89">
        <v>420.87220200000002</v>
      </c>
      <c r="E143" s="89">
        <v>415.5</v>
      </c>
      <c r="F143" s="90">
        <v>161.09</v>
      </c>
      <c r="G143" s="9"/>
      <c r="H143" s="9"/>
      <c r="I143" s="9"/>
    </row>
    <row r="144" spans="1:9" x14ac:dyDescent="0.35">
      <c r="A144" s="9"/>
      <c r="B144" s="27" t="s">
        <v>189</v>
      </c>
      <c r="C144" s="88" t="s">
        <v>179</v>
      </c>
      <c r="D144" s="89">
        <v>309.33212900000001</v>
      </c>
      <c r="E144" s="89">
        <v>304.39999999999998</v>
      </c>
      <c r="F144" s="90">
        <v>15.8</v>
      </c>
      <c r="G144" s="9"/>
      <c r="H144" s="9"/>
      <c r="I144" s="9"/>
    </row>
    <row r="145" spans="1:9" x14ac:dyDescent="0.35">
      <c r="A145" s="9"/>
      <c r="B145" s="27" t="s">
        <v>190</v>
      </c>
      <c r="C145" s="88" t="s">
        <v>179</v>
      </c>
      <c r="D145" s="89">
        <v>1823.34</v>
      </c>
      <c r="E145" s="89">
        <v>1766.6</v>
      </c>
      <c r="F145" s="90">
        <v>14.91</v>
      </c>
      <c r="G145" s="9"/>
      <c r="H145" s="9"/>
      <c r="I145" s="9"/>
    </row>
    <row r="146" spans="1:9" x14ac:dyDescent="0.35">
      <c r="A146" s="9"/>
      <c r="B146" s="27" t="s">
        <v>191</v>
      </c>
      <c r="C146" s="88" t="s">
        <v>179</v>
      </c>
      <c r="D146" s="89">
        <v>390.32257099999998</v>
      </c>
      <c r="E146" s="89">
        <v>374.15</v>
      </c>
      <c r="F146" s="90">
        <v>53.62</v>
      </c>
      <c r="G146" s="9"/>
      <c r="H146" s="9"/>
      <c r="I146" s="9"/>
    </row>
    <row r="147" spans="1:9" x14ac:dyDescent="0.35">
      <c r="A147" s="9"/>
      <c r="B147" s="27" t="s">
        <v>192</v>
      </c>
      <c r="C147" s="88" t="s">
        <v>179</v>
      </c>
      <c r="D147" s="89">
        <v>126.118922</v>
      </c>
      <c r="E147" s="89">
        <v>120.5</v>
      </c>
      <c r="F147" s="90">
        <v>239.92</v>
      </c>
      <c r="G147" s="9"/>
      <c r="H147" s="9"/>
      <c r="I147" s="9"/>
    </row>
    <row r="148" spans="1:9" x14ac:dyDescent="0.35">
      <c r="A148" s="9"/>
      <c r="B148" s="27" t="s">
        <v>193</v>
      </c>
      <c r="C148" s="88" t="s">
        <v>179</v>
      </c>
      <c r="D148" s="89">
        <v>223.451111</v>
      </c>
      <c r="E148" s="89">
        <v>210.53</v>
      </c>
      <c r="F148" s="90">
        <v>14.01</v>
      </c>
      <c r="G148" s="9"/>
      <c r="H148" s="9"/>
      <c r="I148" s="9"/>
    </row>
    <row r="149" spans="1:9" x14ac:dyDescent="0.35">
      <c r="A149" s="9"/>
      <c r="B149" s="27" t="s">
        <v>194</v>
      </c>
      <c r="C149" s="88" t="s">
        <v>179</v>
      </c>
      <c r="D149" s="89">
        <v>5050.5</v>
      </c>
      <c r="E149" s="89">
        <v>4798</v>
      </c>
      <c r="F149" s="90">
        <v>1.82</v>
      </c>
      <c r="G149" s="9"/>
      <c r="H149" s="9"/>
      <c r="I149" s="9"/>
    </row>
    <row r="150" spans="1:9" x14ac:dyDescent="0.35">
      <c r="A150" s="9"/>
      <c r="B150" s="27" t="s">
        <v>195</v>
      </c>
      <c r="C150" s="88" t="s">
        <v>179</v>
      </c>
      <c r="D150" s="89">
        <v>388.52895799999999</v>
      </c>
      <c r="E150" s="89">
        <v>381.85</v>
      </c>
      <c r="F150" s="90">
        <v>16.03</v>
      </c>
      <c r="G150" s="9"/>
      <c r="H150" s="9"/>
      <c r="I150" s="9"/>
    </row>
    <row r="151" spans="1:9" x14ac:dyDescent="0.35">
      <c r="A151" s="9"/>
      <c r="B151" s="27" t="s">
        <v>196</v>
      </c>
      <c r="C151" s="88" t="s">
        <v>179</v>
      </c>
      <c r="D151" s="89">
        <v>873.02499999999998</v>
      </c>
      <c r="E151" s="89">
        <v>764.7</v>
      </c>
      <c r="F151" s="90">
        <v>8.93</v>
      </c>
      <c r="G151" s="9"/>
      <c r="H151" s="9"/>
      <c r="I151" s="9"/>
    </row>
    <row r="152" spans="1:9" x14ac:dyDescent="0.35">
      <c r="A152" s="9"/>
      <c r="B152" s="27" t="s">
        <v>197</v>
      </c>
      <c r="C152" s="88" t="s">
        <v>179</v>
      </c>
      <c r="D152" s="89">
        <v>98.196667000000005</v>
      </c>
      <c r="E152" s="89">
        <v>95.33</v>
      </c>
      <c r="F152" s="90">
        <v>8.02</v>
      </c>
      <c r="G152" s="9"/>
      <c r="H152" s="9"/>
      <c r="I152" s="9"/>
    </row>
    <row r="153" spans="1:9" x14ac:dyDescent="0.35">
      <c r="A153" s="9"/>
      <c r="B153" s="27" t="s">
        <v>198</v>
      </c>
      <c r="C153" s="88" t="s">
        <v>179</v>
      </c>
      <c r="D153" s="89">
        <v>925.8</v>
      </c>
      <c r="E153" s="89">
        <v>851.65</v>
      </c>
      <c r="F153" s="90">
        <v>6.92</v>
      </c>
      <c r="G153" s="9"/>
      <c r="H153" s="9"/>
      <c r="I153" s="9"/>
    </row>
    <row r="154" spans="1:9" x14ac:dyDescent="0.35">
      <c r="A154" s="9"/>
      <c r="B154" s="27" t="s">
        <v>199</v>
      </c>
      <c r="C154" s="88" t="s">
        <v>179</v>
      </c>
      <c r="D154" s="89">
        <v>1702.989994</v>
      </c>
      <c r="E154" s="89">
        <v>1642.8</v>
      </c>
      <c r="F154" s="90">
        <v>134.63999999999999</v>
      </c>
      <c r="G154" s="9"/>
      <c r="H154" s="9"/>
      <c r="I154" s="9"/>
    </row>
    <row r="155" spans="1:9" x14ac:dyDescent="0.35">
      <c r="A155" s="9"/>
      <c r="B155" s="27" t="s">
        <v>200</v>
      </c>
      <c r="C155" s="88" t="s">
        <v>179</v>
      </c>
      <c r="D155" s="89">
        <v>732.61340700000005</v>
      </c>
      <c r="E155" s="89">
        <v>715.55</v>
      </c>
      <c r="F155" s="90">
        <v>123.82</v>
      </c>
      <c r="G155" s="9"/>
      <c r="H155" s="9"/>
      <c r="I155" s="9"/>
    </row>
    <row r="156" spans="1:9" x14ac:dyDescent="0.35">
      <c r="A156" s="9"/>
      <c r="B156" s="27" t="s">
        <v>201</v>
      </c>
      <c r="C156" s="88" t="s">
        <v>179</v>
      </c>
      <c r="D156" s="89">
        <v>558.9</v>
      </c>
      <c r="E156" s="89">
        <v>519.45000000000005</v>
      </c>
      <c r="F156" s="90">
        <v>18.350000000000001</v>
      </c>
      <c r="G156" s="9"/>
      <c r="H156" s="9"/>
      <c r="I156" s="9"/>
    </row>
    <row r="157" spans="1:9" x14ac:dyDescent="0.35">
      <c r="A157" s="9"/>
      <c r="B157" s="27" t="s">
        <v>202</v>
      </c>
      <c r="C157" s="88" t="s">
        <v>179</v>
      </c>
      <c r="D157" s="89">
        <v>1334.7425929999999</v>
      </c>
      <c r="E157" s="89">
        <v>1329</v>
      </c>
      <c r="F157" s="90">
        <v>185.47</v>
      </c>
      <c r="G157" s="9"/>
      <c r="H157" s="9"/>
      <c r="I157" s="9"/>
    </row>
    <row r="158" spans="1:9" x14ac:dyDescent="0.35">
      <c r="A158" s="9"/>
      <c r="B158" s="27" t="s">
        <v>203</v>
      </c>
      <c r="C158" s="88" t="s">
        <v>179</v>
      </c>
      <c r="D158" s="89">
        <v>85.184548000000007</v>
      </c>
      <c r="E158" s="89">
        <v>81.59</v>
      </c>
      <c r="F158" s="90">
        <v>65.239999999999995</v>
      </c>
      <c r="G158" s="9"/>
      <c r="H158" s="9"/>
      <c r="I158" s="9"/>
    </row>
    <row r="159" spans="1:9" x14ac:dyDescent="0.35">
      <c r="A159" s="9"/>
      <c r="B159" s="27" t="s">
        <v>204</v>
      </c>
      <c r="C159" s="88" t="s">
        <v>179</v>
      </c>
      <c r="D159" s="89">
        <v>114.173</v>
      </c>
      <c r="E159" s="89">
        <v>107.44</v>
      </c>
      <c r="F159" s="90">
        <v>17.850000000000001</v>
      </c>
      <c r="G159" s="9"/>
      <c r="H159" s="9"/>
      <c r="I159" s="9"/>
    </row>
    <row r="160" spans="1:9" x14ac:dyDescent="0.35">
      <c r="A160" s="9"/>
      <c r="B160" s="27" t="s">
        <v>205</v>
      </c>
      <c r="C160" s="88" t="s">
        <v>179</v>
      </c>
      <c r="D160" s="89">
        <v>738.01874999999995</v>
      </c>
      <c r="E160" s="89">
        <v>734.55</v>
      </c>
      <c r="F160" s="90">
        <v>10.19</v>
      </c>
      <c r="G160" s="9"/>
      <c r="H160" s="9"/>
      <c r="I160" s="9"/>
    </row>
    <row r="161" spans="1:9" x14ac:dyDescent="0.35">
      <c r="A161" s="9"/>
      <c r="B161" s="27" t="s">
        <v>206</v>
      </c>
      <c r="C161" s="88" t="s">
        <v>179</v>
      </c>
      <c r="D161" s="89">
        <v>382.50392599999998</v>
      </c>
      <c r="E161" s="89">
        <v>374.25</v>
      </c>
      <c r="F161" s="90">
        <v>81.11</v>
      </c>
      <c r="G161" s="9"/>
      <c r="H161" s="9"/>
      <c r="I161" s="9"/>
    </row>
    <row r="162" spans="1:9" x14ac:dyDescent="0.35">
      <c r="A162" s="9"/>
      <c r="B162" s="27" t="s">
        <v>207</v>
      </c>
      <c r="C162" s="88" t="s">
        <v>179</v>
      </c>
      <c r="D162" s="89">
        <v>232.07</v>
      </c>
      <c r="E162" s="89">
        <v>216.88</v>
      </c>
      <c r="F162" s="90">
        <v>4.95</v>
      </c>
      <c r="G162" s="9"/>
      <c r="H162" s="9"/>
      <c r="I162" s="9"/>
    </row>
    <row r="163" spans="1:9" x14ac:dyDescent="0.35">
      <c r="A163" s="9"/>
      <c r="B163" s="27" t="s">
        <v>208</v>
      </c>
      <c r="C163" s="88" t="s">
        <v>179</v>
      </c>
      <c r="D163" s="89">
        <v>407.4</v>
      </c>
      <c r="E163" s="89">
        <v>416.9</v>
      </c>
      <c r="F163" s="90">
        <v>2.89</v>
      </c>
      <c r="G163" s="9"/>
      <c r="H163" s="9"/>
      <c r="I163" s="9"/>
    </row>
    <row r="164" spans="1:9" x14ac:dyDescent="0.35">
      <c r="A164" s="9"/>
      <c r="B164" s="27" t="s">
        <v>209</v>
      </c>
      <c r="C164" s="88" t="s">
        <v>179</v>
      </c>
      <c r="D164" s="89">
        <v>405.474988</v>
      </c>
      <c r="E164" s="89">
        <v>399.6</v>
      </c>
      <c r="F164" s="90">
        <v>26.08</v>
      </c>
      <c r="G164" s="9"/>
      <c r="H164" s="9"/>
      <c r="I164" s="9"/>
    </row>
    <row r="165" spans="1:9" x14ac:dyDescent="0.35">
      <c r="A165" s="9"/>
      <c r="B165" s="27" t="s">
        <v>210</v>
      </c>
      <c r="C165" s="88" t="s">
        <v>179</v>
      </c>
      <c r="D165" s="89">
        <v>824.48125000000005</v>
      </c>
      <c r="E165" s="89">
        <v>793.8</v>
      </c>
      <c r="F165" s="90">
        <v>13.42</v>
      </c>
      <c r="G165" s="9"/>
      <c r="H165" s="9"/>
      <c r="I165" s="9"/>
    </row>
    <row r="166" spans="1:9" x14ac:dyDescent="0.35">
      <c r="A166" s="9"/>
      <c r="B166" s="27" t="s">
        <v>211</v>
      </c>
      <c r="C166" s="88" t="s">
        <v>179</v>
      </c>
      <c r="D166" s="89">
        <v>1501.53</v>
      </c>
      <c r="E166" s="89">
        <v>1374.1</v>
      </c>
      <c r="F166" s="90">
        <v>10.79</v>
      </c>
      <c r="G166" s="9"/>
      <c r="H166" s="9"/>
      <c r="I166" s="9"/>
    </row>
    <row r="167" spans="1:9" x14ac:dyDescent="0.35">
      <c r="A167" s="9"/>
      <c r="B167" s="27" t="s">
        <v>212</v>
      </c>
      <c r="C167" s="88" t="s">
        <v>179</v>
      </c>
      <c r="D167" s="89">
        <v>83.861000000000004</v>
      </c>
      <c r="E167" s="89">
        <v>79.14</v>
      </c>
      <c r="F167" s="90">
        <v>19.87</v>
      </c>
      <c r="G167" s="9"/>
      <c r="H167" s="9"/>
      <c r="I167" s="9"/>
    </row>
    <row r="168" spans="1:9" x14ac:dyDescent="0.35">
      <c r="A168" s="9"/>
      <c r="B168" s="27" t="s">
        <v>213</v>
      </c>
      <c r="C168" s="88" t="s">
        <v>179</v>
      </c>
      <c r="D168" s="89">
        <v>417.18</v>
      </c>
      <c r="E168" s="89">
        <v>407.95</v>
      </c>
      <c r="F168" s="90">
        <v>41.32</v>
      </c>
      <c r="G168" s="9"/>
      <c r="H168" s="9"/>
      <c r="I168" s="9"/>
    </row>
    <row r="169" spans="1:9" x14ac:dyDescent="0.35">
      <c r="A169" s="9"/>
      <c r="B169" s="27" t="s">
        <v>214</v>
      </c>
      <c r="C169" s="88" t="s">
        <v>179</v>
      </c>
      <c r="D169" s="89">
        <v>1240.166667</v>
      </c>
      <c r="E169" s="89">
        <v>1191.8</v>
      </c>
      <c r="F169" s="90">
        <v>9.44</v>
      </c>
      <c r="G169" s="9"/>
      <c r="H169" s="9"/>
      <c r="I169" s="9"/>
    </row>
    <row r="170" spans="1:9" x14ac:dyDescent="0.35">
      <c r="A170" s="9"/>
      <c r="B170" s="27" t="s">
        <v>215</v>
      </c>
      <c r="C170" s="88" t="s">
        <v>179</v>
      </c>
      <c r="D170" s="89">
        <v>44.846989999999998</v>
      </c>
      <c r="E170" s="89">
        <v>43.06</v>
      </c>
      <c r="F170" s="90">
        <v>11.31</v>
      </c>
      <c r="G170" s="9"/>
      <c r="H170" s="9"/>
      <c r="I170" s="9"/>
    </row>
    <row r="171" spans="1:9" x14ac:dyDescent="0.35">
      <c r="A171" s="9"/>
      <c r="B171" s="27" t="s">
        <v>216</v>
      </c>
      <c r="C171" s="88" t="s">
        <v>179</v>
      </c>
      <c r="D171" s="89">
        <v>164.314988</v>
      </c>
      <c r="E171" s="89">
        <v>163.57</v>
      </c>
      <c r="F171" s="90">
        <v>34.15</v>
      </c>
      <c r="G171" s="9"/>
      <c r="H171" s="9"/>
      <c r="I171" s="9"/>
    </row>
    <row r="172" spans="1:9" x14ac:dyDescent="0.35">
      <c r="A172" s="9"/>
      <c r="B172" s="27" t="s">
        <v>217</v>
      </c>
      <c r="C172" s="88" t="s">
        <v>179</v>
      </c>
      <c r="D172" s="89">
        <v>590.65</v>
      </c>
      <c r="E172" s="89">
        <v>582.6</v>
      </c>
      <c r="F172" s="90">
        <v>5.15</v>
      </c>
      <c r="G172" s="9"/>
      <c r="H172" s="9"/>
      <c r="I172" s="9"/>
    </row>
    <row r="173" spans="1:9" x14ac:dyDescent="0.35">
      <c r="A173" s="9"/>
      <c r="B173" s="27" t="s">
        <v>218</v>
      </c>
      <c r="C173" s="88" t="s">
        <v>179</v>
      </c>
      <c r="D173" s="89">
        <v>188.52264500000001</v>
      </c>
      <c r="E173" s="89">
        <v>186.07</v>
      </c>
      <c r="F173" s="90">
        <v>86.01</v>
      </c>
      <c r="G173" s="9"/>
      <c r="H173" s="9"/>
      <c r="I173" s="9"/>
    </row>
    <row r="174" spans="1:9" x14ac:dyDescent="0.35">
      <c r="A174" s="9"/>
      <c r="B174" s="27" t="s">
        <v>219</v>
      </c>
      <c r="C174" s="88" t="s">
        <v>179</v>
      </c>
      <c r="D174" s="89">
        <v>434.98750000000001</v>
      </c>
      <c r="E174" s="89">
        <v>432.25</v>
      </c>
      <c r="F174" s="90">
        <v>8.65</v>
      </c>
      <c r="G174" s="9"/>
      <c r="H174" s="9"/>
      <c r="I174" s="9"/>
    </row>
    <row r="175" spans="1:9" x14ac:dyDescent="0.35">
      <c r="A175" s="9"/>
      <c r="B175" s="27" t="s">
        <v>220</v>
      </c>
      <c r="C175" s="88" t="s">
        <v>179</v>
      </c>
      <c r="D175" s="89">
        <v>13.679677999999999</v>
      </c>
      <c r="E175" s="89">
        <v>12.98</v>
      </c>
      <c r="F175" s="90">
        <v>275.48</v>
      </c>
      <c r="G175" s="9"/>
      <c r="H175" s="9"/>
      <c r="I175" s="9"/>
    </row>
    <row r="176" spans="1:9" x14ac:dyDescent="0.35">
      <c r="A176" s="9"/>
      <c r="B176" s="27" t="s">
        <v>221</v>
      </c>
      <c r="C176" s="88" t="s">
        <v>179</v>
      </c>
      <c r="D176" s="89">
        <v>21.6538</v>
      </c>
      <c r="E176" s="89">
        <v>21.1</v>
      </c>
      <c r="F176" s="90">
        <v>34.369999999999997</v>
      </c>
      <c r="G176" s="9"/>
      <c r="H176" s="9"/>
      <c r="I176" s="9"/>
    </row>
    <row r="177" spans="1:9" x14ac:dyDescent="0.35">
      <c r="A177" s="9"/>
      <c r="B177" s="9"/>
      <c r="C177" s="9"/>
      <c r="D177" s="9"/>
      <c r="E177" s="9"/>
      <c r="F177" s="9"/>
      <c r="G177" s="9"/>
      <c r="H177" s="9"/>
      <c r="I177" s="9"/>
    </row>
    <row r="178" spans="1:9" x14ac:dyDescent="0.35">
      <c r="A178" s="9"/>
      <c r="B178" s="83" t="s">
        <v>172</v>
      </c>
      <c r="C178" s="9"/>
      <c r="D178" s="9"/>
      <c r="E178" s="9"/>
      <c r="F178" s="9"/>
      <c r="G178" s="9"/>
      <c r="H178" s="9"/>
      <c r="I178" s="9"/>
    </row>
    <row r="179" spans="1:9" x14ac:dyDescent="0.35">
      <c r="A179" s="9"/>
      <c r="B179" s="9"/>
      <c r="C179" s="9"/>
      <c r="D179" s="9"/>
      <c r="E179" s="9"/>
      <c r="F179" s="9"/>
      <c r="G179" s="9"/>
      <c r="H179" s="9"/>
      <c r="I179" s="9"/>
    </row>
    <row r="180" spans="1:9" ht="29" x14ac:dyDescent="0.35">
      <c r="A180" s="9"/>
      <c r="B180" s="84" t="s">
        <v>4</v>
      </c>
      <c r="C180" s="85" t="s">
        <v>174</v>
      </c>
      <c r="D180" s="85" t="s">
        <v>6</v>
      </c>
      <c r="E180" s="86" t="s">
        <v>7</v>
      </c>
      <c r="F180" s="91" t="s">
        <v>8</v>
      </c>
      <c r="G180" s="9"/>
      <c r="H180" s="9"/>
      <c r="I180" s="9"/>
    </row>
    <row r="181" spans="1:9" s="2" customFormat="1" ht="24.65" customHeight="1" x14ac:dyDescent="0.35">
      <c r="A181" s="9"/>
      <c r="B181" s="27" t="s">
        <v>222</v>
      </c>
      <c r="C181" s="88" t="s">
        <v>179</v>
      </c>
      <c r="D181" s="92">
        <v>-200</v>
      </c>
      <c r="E181" s="89">
        <v>-9.5960000000000001</v>
      </c>
      <c r="F181" s="90">
        <v>-6.9670915560678184E-2</v>
      </c>
      <c r="G181" s="9"/>
      <c r="H181" s="9"/>
      <c r="I181" s="9"/>
    </row>
    <row r="182" spans="1:9" s="2" customFormat="1" ht="24.65" customHeight="1" x14ac:dyDescent="0.35">
      <c r="A182" s="9"/>
      <c r="B182" s="27" t="s">
        <v>208</v>
      </c>
      <c r="C182" s="88" t="s">
        <v>179</v>
      </c>
      <c r="D182" s="92">
        <v>-4000</v>
      </c>
      <c r="E182" s="89">
        <v>-16.675999999999998</v>
      </c>
      <c r="F182" s="90">
        <v>-0.12107463400269586</v>
      </c>
      <c r="G182" s="9"/>
      <c r="H182" s="9"/>
      <c r="I182" s="9"/>
    </row>
    <row r="183" spans="1:9" s="2" customFormat="1" ht="24.65" customHeight="1" x14ac:dyDescent="0.35">
      <c r="A183" s="9"/>
      <c r="B183" s="27" t="s">
        <v>207</v>
      </c>
      <c r="C183" s="88" t="s">
        <v>179</v>
      </c>
      <c r="D183" s="92">
        <v>-11750</v>
      </c>
      <c r="E183" s="89">
        <v>-25.4834</v>
      </c>
      <c r="F183" s="90">
        <v>-0.18501998849510071</v>
      </c>
      <c r="G183" s="9"/>
      <c r="H183" s="9"/>
      <c r="I183" s="9"/>
    </row>
    <row r="184" spans="1:9" s="2" customFormat="1" ht="24.65" customHeight="1" x14ac:dyDescent="0.35">
      <c r="A184" s="9"/>
      <c r="B184" s="27" t="s">
        <v>223</v>
      </c>
      <c r="C184" s="88" t="s">
        <v>179</v>
      </c>
      <c r="D184" s="92">
        <v>-4800</v>
      </c>
      <c r="E184" s="89">
        <v>-27.9648</v>
      </c>
      <c r="F184" s="90">
        <v>-0.20303597535131859</v>
      </c>
      <c r="G184" s="9"/>
      <c r="H184" s="9"/>
      <c r="I184" s="9"/>
    </row>
    <row r="185" spans="1:9" s="2" customFormat="1" ht="24.65" customHeight="1" x14ac:dyDescent="0.35">
      <c r="A185" s="9"/>
      <c r="B185" s="27" t="s">
        <v>198</v>
      </c>
      <c r="C185" s="88" t="s">
        <v>179</v>
      </c>
      <c r="D185" s="92">
        <v>-4500</v>
      </c>
      <c r="E185" s="89">
        <v>-38.324249999999999</v>
      </c>
      <c r="F185" s="90">
        <v>-0.27824985261320562</v>
      </c>
      <c r="G185" s="9"/>
      <c r="H185" s="9"/>
      <c r="I185" s="9"/>
    </row>
    <row r="186" spans="1:9" s="2" customFormat="1" ht="24.65" customHeight="1" x14ac:dyDescent="0.35">
      <c r="A186" s="9"/>
      <c r="B186" s="27" t="s">
        <v>224</v>
      </c>
      <c r="C186" s="88" t="s">
        <v>179</v>
      </c>
      <c r="D186" s="92">
        <v>-21600</v>
      </c>
      <c r="E186" s="89">
        <v>-38.692079999999997</v>
      </c>
      <c r="F186" s="90">
        <v>-0.28092045003616145</v>
      </c>
      <c r="G186" s="9"/>
      <c r="H186" s="9"/>
      <c r="I186" s="9"/>
    </row>
    <row r="187" spans="1:9" s="2" customFormat="1" ht="24.65" customHeight="1" x14ac:dyDescent="0.35">
      <c r="A187" s="9"/>
      <c r="B187" s="27" t="s">
        <v>197</v>
      </c>
      <c r="C187" s="88" t="s">
        <v>179</v>
      </c>
      <c r="D187" s="92">
        <v>-41850</v>
      </c>
      <c r="E187" s="89">
        <v>-39.895605000000003</v>
      </c>
      <c r="F187" s="90">
        <v>-0.28965853764038874</v>
      </c>
      <c r="G187" s="9"/>
      <c r="H187" s="9"/>
      <c r="I187" s="9"/>
    </row>
    <row r="188" spans="1:9" s="2" customFormat="1" ht="24.65" customHeight="1" x14ac:dyDescent="0.35">
      <c r="A188" s="9"/>
      <c r="B188" s="27" t="s">
        <v>225</v>
      </c>
      <c r="C188" s="88" t="s">
        <v>179</v>
      </c>
      <c r="D188" s="92">
        <v>-19350</v>
      </c>
      <c r="E188" s="89">
        <v>-40.737555</v>
      </c>
      <c r="F188" s="90">
        <v>-0.29577144170002956</v>
      </c>
      <c r="G188" s="9"/>
      <c r="H188" s="9"/>
      <c r="I188" s="9"/>
    </row>
    <row r="189" spans="1:9" s="2" customFormat="1" ht="24.65" customHeight="1" x14ac:dyDescent="0.35">
      <c r="A189" s="9"/>
      <c r="B189" s="27" t="s">
        <v>219</v>
      </c>
      <c r="C189" s="88" t="s">
        <v>179</v>
      </c>
      <c r="D189" s="92">
        <v>-10200</v>
      </c>
      <c r="E189" s="89">
        <v>-44.089500000000001</v>
      </c>
      <c r="F189" s="90">
        <v>-0.32010794410301385</v>
      </c>
      <c r="G189" s="9"/>
      <c r="H189" s="9"/>
      <c r="I189" s="9"/>
    </row>
    <row r="190" spans="1:9" s="2" customFormat="1" ht="24.65" customHeight="1" x14ac:dyDescent="0.35">
      <c r="A190" s="9"/>
      <c r="B190" s="27" t="s">
        <v>204</v>
      </c>
      <c r="C190" s="88" t="s">
        <v>179</v>
      </c>
      <c r="D190" s="92">
        <v>-43500</v>
      </c>
      <c r="E190" s="89">
        <v>-46.736400000000003</v>
      </c>
      <c r="F190" s="90">
        <v>-0.33932552917987496</v>
      </c>
      <c r="G190" s="9"/>
      <c r="H190" s="9"/>
      <c r="I190" s="9"/>
    </row>
    <row r="191" spans="1:9" s="2" customFormat="1" ht="24.65" customHeight="1" x14ac:dyDescent="0.35">
      <c r="A191" s="9"/>
      <c r="B191" s="27" t="s">
        <v>226</v>
      </c>
      <c r="C191" s="88" t="s">
        <v>179</v>
      </c>
      <c r="D191" s="92">
        <v>-6200</v>
      </c>
      <c r="E191" s="89">
        <v>-47.4114</v>
      </c>
      <c r="F191" s="90">
        <v>-0.344226307421169</v>
      </c>
      <c r="G191" s="9"/>
      <c r="H191" s="9"/>
      <c r="I191" s="9"/>
    </row>
    <row r="192" spans="1:9" s="2" customFormat="1" ht="24.65" customHeight="1" x14ac:dyDescent="0.35">
      <c r="A192" s="9"/>
      <c r="B192" s="27" t="s">
        <v>185</v>
      </c>
      <c r="C192" s="88" t="s">
        <v>179</v>
      </c>
      <c r="D192" s="92">
        <v>-20475</v>
      </c>
      <c r="E192" s="89">
        <v>-47.633040000000001</v>
      </c>
      <c r="F192" s="90">
        <v>-0.34583550518324369</v>
      </c>
      <c r="G192" s="9"/>
      <c r="H192" s="9"/>
      <c r="I192" s="9"/>
    </row>
    <row r="193" spans="1:9" s="2" customFormat="1" ht="24.65" customHeight="1" x14ac:dyDescent="0.35">
      <c r="A193" s="9"/>
      <c r="B193" s="27" t="s">
        <v>183</v>
      </c>
      <c r="C193" s="88" t="s">
        <v>179</v>
      </c>
      <c r="D193" s="92">
        <v>-5250</v>
      </c>
      <c r="E193" s="89">
        <v>-50.704500000000003</v>
      </c>
      <c r="F193" s="90">
        <v>-0.36813557086769561</v>
      </c>
      <c r="G193" s="9"/>
      <c r="H193" s="9"/>
      <c r="I193" s="9"/>
    </row>
    <row r="194" spans="1:9" s="2" customFormat="1" ht="24.65" customHeight="1" x14ac:dyDescent="0.35">
      <c r="A194" s="9"/>
      <c r="B194" s="27" t="s">
        <v>227</v>
      </c>
      <c r="C194" s="88" t="s">
        <v>179</v>
      </c>
      <c r="D194" s="92">
        <v>-65000</v>
      </c>
      <c r="E194" s="89">
        <v>-51.441000000000003</v>
      </c>
      <c r="F194" s="90">
        <v>-0.37348286445986312</v>
      </c>
      <c r="G194" s="9"/>
      <c r="H194" s="9"/>
      <c r="I194" s="9"/>
    </row>
    <row r="195" spans="1:9" s="2" customFormat="1" ht="24.65" customHeight="1" x14ac:dyDescent="0.35">
      <c r="A195" s="9"/>
      <c r="B195" s="27" t="s">
        <v>228</v>
      </c>
      <c r="C195" s="88" t="s">
        <v>179</v>
      </c>
      <c r="D195" s="92">
        <v>-120000</v>
      </c>
      <c r="E195" s="89">
        <v>-51.671999999999997</v>
      </c>
      <c r="F195" s="90">
        <v>-0.37516001968021712</v>
      </c>
      <c r="G195" s="9"/>
      <c r="H195" s="9"/>
      <c r="I195" s="9"/>
    </row>
    <row r="196" spans="1:9" s="2" customFormat="1" ht="24.65" customHeight="1" x14ac:dyDescent="0.35">
      <c r="A196" s="9"/>
      <c r="B196" s="27" t="s">
        <v>186</v>
      </c>
      <c r="C196" s="88" t="s">
        <v>179</v>
      </c>
      <c r="D196" s="92">
        <v>-65000</v>
      </c>
      <c r="E196" s="89">
        <v>-52.1755</v>
      </c>
      <c r="F196" s="90">
        <v>-0.37881563722761197</v>
      </c>
      <c r="G196" s="9"/>
      <c r="H196" s="9"/>
      <c r="I196" s="9"/>
    </row>
    <row r="197" spans="1:9" s="2" customFormat="1" ht="24.65" customHeight="1" x14ac:dyDescent="0.35">
      <c r="A197" s="9"/>
      <c r="B197" s="27" t="s">
        <v>214</v>
      </c>
      <c r="C197" s="88" t="s">
        <v>179</v>
      </c>
      <c r="D197" s="92">
        <v>-4500</v>
      </c>
      <c r="E197" s="89">
        <v>-53.631</v>
      </c>
      <c r="F197" s="90">
        <v>-0.38938316719828386</v>
      </c>
      <c r="G197" s="9"/>
      <c r="H197" s="9"/>
      <c r="I197" s="9"/>
    </row>
    <row r="198" spans="1:9" s="2" customFormat="1" ht="24.65" customHeight="1" x14ac:dyDescent="0.35">
      <c r="A198" s="9"/>
      <c r="B198" s="27" t="s">
        <v>229</v>
      </c>
      <c r="C198" s="88" t="s">
        <v>179</v>
      </c>
      <c r="D198" s="92">
        <v>-4000</v>
      </c>
      <c r="E198" s="89">
        <v>-54.963999999999999</v>
      </c>
      <c r="F198" s="90">
        <v>-0.39906129667331341</v>
      </c>
      <c r="G198" s="9"/>
      <c r="H198" s="9"/>
      <c r="I198" s="9"/>
    </row>
    <row r="199" spans="1:9" s="2" customFormat="1" ht="24.65" customHeight="1" x14ac:dyDescent="0.35">
      <c r="A199" s="9"/>
      <c r="B199" s="27" t="s">
        <v>230</v>
      </c>
      <c r="C199" s="88" t="s">
        <v>179</v>
      </c>
      <c r="D199" s="92">
        <v>-8000</v>
      </c>
      <c r="E199" s="89">
        <v>-58.764000000000003</v>
      </c>
      <c r="F199" s="90">
        <v>-0.42665086306874667</v>
      </c>
      <c r="G199" s="9"/>
      <c r="H199" s="9"/>
      <c r="I199" s="9"/>
    </row>
    <row r="200" spans="1:9" s="2" customFormat="1" ht="24.65" customHeight="1" x14ac:dyDescent="0.35">
      <c r="A200" s="9"/>
      <c r="B200" s="27" t="s">
        <v>210</v>
      </c>
      <c r="C200" s="88" t="s">
        <v>179</v>
      </c>
      <c r="D200" s="92">
        <v>-9600</v>
      </c>
      <c r="E200" s="89">
        <v>-76.204800000000006</v>
      </c>
      <c r="F200" s="90">
        <v>-0.55327826032913396</v>
      </c>
      <c r="G200" s="9"/>
      <c r="H200" s="9"/>
      <c r="I200" s="9"/>
    </row>
    <row r="201" spans="1:9" s="2" customFormat="1" ht="24.65" customHeight="1" x14ac:dyDescent="0.35">
      <c r="A201" s="9"/>
      <c r="B201" s="27" t="s">
        <v>190</v>
      </c>
      <c r="C201" s="88" t="s">
        <v>179</v>
      </c>
      <c r="D201" s="92">
        <v>-4750</v>
      </c>
      <c r="E201" s="89">
        <v>-83.913499999999999</v>
      </c>
      <c r="F201" s="90">
        <v>-0.60924659992715391</v>
      </c>
      <c r="G201" s="9"/>
      <c r="H201" s="9"/>
      <c r="I201" s="9"/>
    </row>
    <row r="202" spans="1:9" s="2" customFormat="1" ht="24.65" customHeight="1" x14ac:dyDescent="0.35">
      <c r="A202" s="9"/>
      <c r="B202" s="27" t="s">
        <v>231</v>
      </c>
      <c r="C202" s="88" t="s">
        <v>179</v>
      </c>
      <c r="D202" s="92">
        <v>-27650</v>
      </c>
      <c r="E202" s="89">
        <v>-84.166600000000003</v>
      </c>
      <c r="F202" s="90">
        <v>-0.61108421025733395</v>
      </c>
      <c r="G202" s="9"/>
      <c r="H202" s="9"/>
      <c r="I202" s="9"/>
    </row>
    <row r="203" spans="1:9" s="2" customFormat="1" ht="24.65" customHeight="1" x14ac:dyDescent="0.35">
      <c r="A203" s="9"/>
      <c r="B203" s="27" t="s">
        <v>195</v>
      </c>
      <c r="C203" s="88" t="s">
        <v>179</v>
      </c>
      <c r="D203" s="92">
        <v>-23750</v>
      </c>
      <c r="E203" s="89">
        <v>-90.689374999999998</v>
      </c>
      <c r="F203" s="90">
        <v>-0.65844224550601071</v>
      </c>
      <c r="G203" s="9"/>
      <c r="H203" s="9"/>
      <c r="I203" s="9"/>
    </row>
    <row r="204" spans="1:9" s="2" customFormat="1" ht="24.65" customHeight="1" x14ac:dyDescent="0.35">
      <c r="A204" s="9"/>
      <c r="B204" s="27" t="s">
        <v>232</v>
      </c>
      <c r="C204" s="88" t="s">
        <v>179</v>
      </c>
      <c r="D204" s="92">
        <v>-19800</v>
      </c>
      <c r="E204" s="89">
        <v>-102.8511</v>
      </c>
      <c r="F204" s="90">
        <v>-0.74674138218245811</v>
      </c>
      <c r="G204" s="9"/>
      <c r="H204" s="9"/>
      <c r="I204" s="9"/>
    </row>
    <row r="205" spans="1:9" s="2" customFormat="1" ht="24.65" customHeight="1" x14ac:dyDescent="0.35">
      <c r="A205" s="9"/>
      <c r="B205" s="27" t="s">
        <v>178</v>
      </c>
      <c r="C205" s="88" t="s">
        <v>179</v>
      </c>
      <c r="D205" s="92">
        <v>-8100</v>
      </c>
      <c r="E205" s="89">
        <v>-107.2683</v>
      </c>
      <c r="F205" s="90">
        <v>-0.77881207499348648</v>
      </c>
      <c r="G205" s="9"/>
      <c r="H205" s="9"/>
      <c r="I205" s="9"/>
    </row>
    <row r="206" spans="1:9" s="2" customFormat="1" ht="24.65" customHeight="1" x14ac:dyDescent="0.35">
      <c r="A206" s="9"/>
      <c r="B206" s="27" t="s">
        <v>209</v>
      </c>
      <c r="C206" s="88" t="s">
        <v>179</v>
      </c>
      <c r="D206" s="92">
        <v>-33600</v>
      </c>
      <c r="E206" s="89">
        <v>-134.26560000000001</v>
      </c>
      <c r="F206" s="90">
        <v>-0.97482360153228353</v>
      </c>
      <c r="G206" s="9"/>
      <c r="H206" s="9"/>
      <c r="I206" s="9"/>
    </row>
    <row r="207" spans="1:9" s="2" customFormat="1" ht="24.65" customHeight="1" x14ac:dyDescent="0.35">
      <c r="A207" s="9"/>
      <c r="B207" s="27" t="s">
        <v>216</v>
      </c>
      <c r="C207" s="88" t="s">
        <v>179</v>
      </c>
      <c r="D207" s="92">
        <v>-98400</v>
      </c>
      <c r="E207" s="89">
        <v>-160.95287999999999</v>
      </c>
      <c r="F207" s="90">
        <v>-1.1685842550779459</v>
      </c>
      <c r="G207" s="9"/>
      <c r="H207" s="9"/>
      <c r="I207" s="9"/>
    </row>
    <row r="208" spans="1:9" s="2" customFormat="1" ht="24.65" customHeight="1" x14ac:dyDescent="0.35">
      <c r="A208" s="9"/>
      <c r="B208" s="27" t="s">
        <v>233</v>
      </c>
      <c r="C208" s="88" t="s">
        <v>179</v>
      </c>
      <c r="D208" s="92">
        <v>-808600</v>
      </c>
      <c r="E208" s="89">
        <v>-170.6146</v>
      </c>
      <c r="F208" s="90">
        <v>-1.238732324929021</v>
      </c>
      <c r="G208" s="9"/>
      <c r="H208" s="9"/>
      <c r="I208" s="9"/>
    </row>
    <row r="209" spans="1:9" s="2" customFormat="1" ht="24.65" customHeight="1" x14ac:dyDescent="0.35">
      <c r="A209" s="9"/>
      <c r="B209" s="27" t="s">
        <v>213</v>
      </c>
      <c r="C209" s="88" t="s">
        <v>179</v>
      </c>
      <c r="D209" s="92">
        <v>-47625</v>
      </c>
      <c r="E209" s="89">
        <v>-194.28618750000001</v>
      </c>
      <c r="F209" s="90">
        <v>-1.4105978078281147</v>
      </c>
      <c r="G209" s="9"/>
      <c r="H209" s="9"/>
      <c r="I209" s="9"/>
    </row>
    <row r="210" spans="1:9" s="2" customFormat="1" ht="24.65" customHeight="1" x14ac:dyDescent="0.35">
      <c r="A210" s="9"/>
      <c r="B210" s="27" t="s">
        <v>180</v>
      </c>
      <c r="C210" s="88" t="s">
        <v>179</v>
      </c>
      <c r="D210" s="92">
        <v>-6798</v>
      </c>
      <c r="E210" s="89">
        <v>-197.31195</v>
      </c>
      <c r="F210" s="90">
        <v>-1.432566090825631</v>
      </c>
      <c r="G210" s="9"/>
      <c r="H210" s="9"/>
      <c r="I210" s="9"/>
    </row>
    <row r="211" spans="1:9" s="2" customFormat="1" ht="24.65" customHeight="1" x14ac:dyDescent="0.35">
      <c r="A211" s="9"/>
      <c r="B211" s="27" t="s">
        <v>206</v>
      </c>
      <c r="C211" s="88" t="s">
        <v>179</v>
      </c>
      <c r="D211" s="92">
        <v>-64600</v>
      </c>
      <c r="E211" s="89">
        <v>-241.7655</v>
      </c>
      <c r="F211" s="90">
        <v>-1.7553171879934495</v>
      </c>
      <c r="G211" s="9"/>
      <c r="H211" s="9"/>
      <c r="I211" s="9"/>
    </row>
    <row r="212" spans="1:9" s="2" customFormat="1" ht="24.65" customHeight="1" x14ac:dyDescent="0.35">
      <c r="A212" s="9"/>
      <c r="B212" s="27" t="s">
        <v>234</v>
      </c>
      <c r="C212" s="88" t="s">
        <v>179</v>
      </c>
      <c r="D212" s="92">
        <v>-77500</v>
      </c>
      <c r="E212" s="89">
        <v>-289.96625</v>
      </c>
      <c r="F212" s="90">
        <v>-2.1052745017920489</v>
      </c>
      <c r="G212" s="9"/>
      <c r="H212" s="9"/>
      <c r="I212" s="9"/>
    </row>
    <row r="213" spans="1:9" s="2" customFormat="1" ht="24.65" customHeight="1" x14ac:dyDescent="0.35">
      <c r="A213" s="9"/>
      <c r="B213" s="27" t="s">
        <v>203</v>
      </c>
      <c r="C213" s="88" t="s">
        <v>179</v>
      </c>
      <c r="D213" s="92">
        <v>-408100</v>
      </c>
      <c r="E213" s="89">
        <v>-332.96879000000001</v>
      </c>
      <c r="F213" s="90">
        <v>-2.4174906682400152</v>
      </c>
      <c r="G213" s="9"/>
      <c r="H213" s="9"/>
      <c r="I213" s="9"/>
    </row>
    <row r="214" spans="1:9" s="2" customFormat="1" ht="24.65" customHeight="1" x14ac:dyDescent="0.35">
      <c r="A214" s="9"/>
      <c r="B214" s="27" t="s">
        <v>187</v>
      </c>
      <c r="C214" s="88" t="s">
        <v>179</v>
      </c>
      <c r="D214" s="92">
        <v>-17500</v>
      </c>
      <c r="E214" s="89">
        <v>-337.89</v>
      </c>
      <c r="F214" s="90">
        <v>-2.4532206814086654</v>
      </c>
      <c r="G214" s="9"/>
      <c r="H214" s="9"/>
      <c r="I214" s="9"/>
    </row>
    <row r="215" spans="1:9" s="2" customFormat="1" ht="24.65" customHeight="1" x14ac:dyDescent="0.35">
      <c r="A215" s="9"/>
      <c r="B215" s="27" t="s">
        <v>181</v>
      </c>
      <c r="C215" s="88" t="s">
        <v>179</v>
      </c>
      <c r="D215" s="92">
        <v>-31200</v>
      </c>
      <c r="E215" s="89">
        <v>-398.64240000000001</v>
      </c>
      <c r="F215" s="90">
        <v>-2.8943081481144328</v>
      </c>
      <c r="G215" s="9"/>
      <c r="H215" s="9"/>
      <c r="I215" s="9"/>
    </row>
    <row r="216" spans="1:9" s="2" customFormat="1" ht="24.65" customHeight="1" x14ac:dyDescent="0.35">
      <c r="A216" s="9"/>
      <c r="B216" s="27" t="s">
        <v>218</v>
      </c>
      <c r="C216" s="88" t="s">
        <v>179</v>
      </c>
      <c r="D216" s="92">
        <v>-258500</v>
      </c>
      <c r="E216" s="89">
        <v>-480.99095</v>
      </c>
      <c r="F216" s="90">
        <v>-3.4921925659546043</v>
      </c>
      <c r="G216" s="9"/>
      <c r="H216" s="9"/>
      <c r="I216" s="9"/>
    </row>
    <row r="217" spans="1:9" s="2" customFormat="1" ht="24.65" customHeight="1" x14ac:dyDescent="0.35">
      <c r="A217" s="9"/>
      <c r="B217" s="27" t="s">
        <v>199</v>
      </c>
      <c r="C217" s="88" t="s">
        <v>179</v>
      </c>
      <c r="D217" s="92">
        <v>-35750</v>
      </c>
      <c r="E217" s="89">
        <v>-587.30100000000004</v>
      </c>
      <c r="F217" s="90">
        <v>-4.2640473509485055</v>
      </c>
      <c r="G217" s="9"/>
      <c r="H217" s="9"/>
      <c r="I217" s="9"/>
    </row>
    <row r="218" spans="1:9" s="2" customFormat="1" ht="24.65" customHeight="1" x14ac:dyDescent="0.35">
      <c r="A218" s="9"/>
      <c r="B218" s="27" t="s">
        <v>235</v>
      </c>
      <c r="C218" s="88" t="s">
        <v>179</v>
      </c>
      <c r="D218" s="92">
        <v>-4574400</v>
      </c>
      <c r="E218" s="89">
        <v>-593.75711999999999</v>
      </c>
      <c r="F218" s="90">
        <v>-4.3109214434213694</v>
      </c>
      <c r="G218" s="9"/>
      <c r="H218" s="9"/>
      <c r="I218" s="9"/>
    </row>
    <row r="219" spans="1:9" s="2" customFormat="1" ht="24.65" customHeight="1" x14ac:dyDescent="0.35">
      <c r="A219" s="9"/>
      <c r="B219" s="27" t="s">
        <v>236</v>
      </c>
      <c r="C219" s="88" t="s">
        <v>179</v>
      </c>
      <c r="D219" s="92">
        <v>-165375</v>
      </c>
      <c r="E219" s="89">
        <v>-687.13312499999995</v>
      </c>
      <c r="F219" s="90">
        <v>-4.9888697301813183</v>
      </c>
      <c r="G219" s="9"/>
      <c r="H219" s="9"/>
      <c r="I219" s="9"/>
    </row>
    <row r="220" spans="1:9" s="2" customFormat="1" ht="24.65" customHeight="1" x14ac:dyDescent="0.35">
      <c r="A220" s="9"/>
      <c r="B220" s="27" t="s">
        <v>200</v>
      </c>
      <c r="C220" s="88" t="s">
        <v>179</v>
      </c>
      <c r="D220" s="92">
        <v>-96850</v>
      </c>
      <c r="E220" s="89">
        <v>-693.010175</v>
      </c>
      <c r="F220" s="90">
        <v>-5.0315395357561288</v>
      </c>
      <c r="G220" s="9"/>
      <c r="H220" s="9"/>
      <c r="I220" s="9"/>
    </row>
    <row r="221" spans="1:9" s="2" customFormat="1" ht="24.65" customHeight="1" x14ac:dyDescent="0.35">
      <c r="A221" s="9"/>
      <c r="B221" s="27" t="s">
        <v>192</v>
      </c>
      <c r="C221" s="88" t="s">
        <v>179</v>
      </c>
      <c r="D221" s="92">
        <v>-580500</v>
      </c>
      <c r="E221" s="89">
        <v>-699.50250000000005</v>
      </c>
      <c r="F221" s="90">
        <v>-5.0786764914530318</v>
      </c>
      <c r="G221" s="9"/>
      <c r="H221" s="9"/>
      <c r="I221" s="9"/>
    </row>
    <row r="222" spans="1:9" s="2" customFormat="1" ht="24.65" customHeight="1" x14ac:dyDescent="0.35">
      <c r="A222" s="9"/>
      <c r="B222" s="27" t="s">
        <v>182</v>
      </c>
      <c r="C222" s="88" t="s">
        <v>179</v>
      </c>
      <c r="D222" s="92">
        <v>-74375</v>
      </c>
      <c r="E222" s="89">
        <v>-913.17624999999998</v>
      </c>
      <c r="F222" s="90">
        <v>-6.6300359947651888</v>
      </c>
      <c r="G222" s="9"/>
      <c r="H222" s="9"/>
      <c r="I222" s="9"/>
    </row>
    <row r="223" spans="1:9" s="2" customFormat="1" ht="24.65" customHeight="1" x14ac:dyDescent="0.35">
      <c r="A223" s="9"/>
      <c r="B223" s="27" t="s">
        <v>202</v>
      </c>
      <c r="C223" s="88" t="s">
        <v>179</v>
      </c>
      <c r="D223" s="92">
        <v>-80500</v>
      </c>
      <c r="E223" s="89">
        <v>-1069.845</v>
      </c>
      <c r="F223" s="90">
        <v>-7.7675157000848012</v>
      </c>
      <c r="G223" s="9"/>
      <c r="H223" s="9"/>
      <c r="I223" s="9"/>
    </row>
    <row r="224" spans="1:9" x14ac:dyDescent="0.35">
      <c r="A224" s="9"/>
      <c r="B224" s="9"/>
      <c r="C224" s="9"/>
      <c r="D224" s="9"/>
      <c r="E224" s="9"/>
      <c r="F224" s="9"/>
      <c r="G224" s="9"/>
      <c r="H224" s="9"/>
      <c r="I224" s="9"/>
    </row>
    <row r="225" spans="1:9" x14ac:dyDescent="0.35">
      <c r="A225" s="9"/>
      <c r="B225" s="93" t="s">
        <v>237</v>
      </c>
      <c r="C225" s="94"/>
      <c r="D225" s="95"/>
      <c r="E225" s="96"/>
      <c r="F225" s="9"/>
      <c r="G225" s="9"/>
      <c r="H225" s="9"/>
      <c r="I225" s="9"/>
    </row>
    <row r="226" spans="1:9" x14ac:dyDescent="0.35">
      <c r="A226" s="9"/>
      <c r="B226" s="97"/>
      <c r="C226" s="94"/>
      <c r="D226" s="98"/>
      <c r="E226" s="96"/>
      <c r="F226" s="9"/>
      <c r="G226" s="9"/>
      <c r="H226" s="9"/>
      <c r="I226" s="9"/>
    </row>
    <row r="227" spans="1:9" x14ac:dyDescent="0.35">
      <c r="A227" s="9"/>
      <c r="B227" s="99" t="s">
        <v>238</v>
      </c>
      <c r="C227" s="99"/>
      <c r="D227" s="100"/>
      <c r="E227" s="101"/>
      <c r="F227" s="9"/>
      <c r="G227" s="9"/>
      <c r="H227" s="9"/>
      <c r="I227" s="9"/>
    </row>
    <row r="228" spans="1:9" x14ac:dyDescent="0.35">
      <c r="A228" s="9"/>
      <c r="B228" s="102" t="s">
        <v>239</v>
      </c>
      <c r="C228" s="102"/>
      <c r="D228" s="102"/>
      <c r="E228" s="102"/>
      <c r="F228" s="9"/>
      <c r="G228" s="9"/>
      <c r="H228" s="9"/>
      <c r="I228" s="9"/>
    </row>
    <row r="229" spans="1:9" x14ac:dyDescent="0.35">
      <c r="A229" s="9"/>
      <c r="B229" s="103" t="s">
        <v>240</v>
      </c>
      <c r="C229" s="104"/>
      <c r="D229" s="105"/>
      <c r="E229" s="106">
        <v>1546</v>
      </c>
      <c r="F229" s="9"/>
      <c r="G229" s="9"/>
      <c r="H229" s="9"/>
      <c r="I229" s="9"/>
    </row>
    <row r="230" spans="1:9" x14ac:dyDescent="0.35">
      <c r="A230" s="9"/>
      <c r="B230" s="103" t="s">
        <v>241</v>
      </c>
      <c r="C230" s="104"/>
      <c r="D230" s="105"/>
      <c r="E230" s="106">
        <v>1342</v>
      </c>
      <c r="F230" s="9"/>
      <c r="G230" s="9"/>
      <c r="H230" s="9"/>
      <c r="I230" s="9"/>
    </row>
    <row r="231" spans="1:9" x14ac:dyDescent="0.35">
      <c r="A231" s="9"/>
      <c r="B231" s="103" t="s">
        <v>242</v>
      </c>
      <c r="C231" s="104"/>
      <c r="D231" s="105"/>
      <c r="E231" s="107">
        <v>11132.939787800002</v>
      </c>
      <c r="F231" s="9"/>
      <c r="G231" s="9"/>
      <c r="H231" s="9"/>
      <c r="I231" s="9"/>
    </row>
    <row r="232" spans="1:9" x14ac:dyDescent="0.35">
      <c r="A232" s="9"/>
      <c r="B232" s="103" t="s">
        <v>243</v>
      </c>
      <c r="C232" s="104"/>
      <c r="D232" s="105"/>
      <c r="E232" s="107">
        <v>9889.6656778999986</v>
      </c>
      <c r="F232" s="9"/>
      <c r="G232" s="9"/>
      <c r="H232" s="9"/>
      <c r="I232" s="9"/>
    </row>
    <row r="233" spans="1:9" x14ac:dyDescent="0.35">
      <c r="A233" s="9"/>
      <c r="B233" s="103" t="s">
        <v>244</v>
      </c>
      <c r="C233" s="104"/>
      <c r="D233" s="105"/>
      <c r="E233" s="108">
        <v>432.38</v>
      </c>
      <c r="F233" s="9"/>
      <c r="G233" s="9"/>
      <c r="H233" s="9"/>
      <c r="I233" s="9"/>
    </row>
    <row r="234" spans="1:9" x14ac:dyDescent="0.35">
      <c r="A234" s="9"/>
      <c r="B234" s="97"/>
      <c r="C234" s="94"/>
      <c r="D234" s="96"/>
      <c r="E234" s="96"/>
      <c r="F234" s="9"/>
      <c r="G234" s="9"/>
      <c r="H234" s="9"/>
      <c r="I234" s="9"/>
    </row>
    <row r="235" spans="1:9" x14ac:dyDescent="0.35">
      <c r="A235" s="9"/>
      <c r="B235" s="114" t="s">
        <v>245</v>
      </c>
      <c r="C235" s="114"/>
      <c r="D235" s="60"/>
      <c r="E235" s="96"/>
      <c r="F235" s="9"/>
      <c r="G235" s="9"/>
      <c r="H235" s="9"/>
      <c r="I235" s="9"/>
    </row>
    <row r="236" spans="1:9" x14ac:dyDescent="0.35">
      <c r="A236" s="9"/>
      <c r="B236" s="109" t="s">
        <v>246</v>
      </c>
      <c r="C236" s="110"/>
      <c r="D236" s="111"/>
      <c r="E236" s="112"/>
      <c r="F236" s="9"/>
      <c r="G236" s="9"/>
      <c r="H236" s="9"/>
      <c r="I236" s="9"/>
    </row>
    <row r="237" spans="1:9" x14ac:dyDescent="0.35">
      <c r="A237" s="9"/>
      <c r="B237" s="103" t="s">
        <v>240</v>
      </c>
      <c r="C237" s="104"/>
      <c r="D237" s="105"/>
      <c r="E237" s="113">
        <v>0</v>
      </c>
      <c r="F237" s="9"/>
      <c r="G237" s="9"/>
      <c r="H237" s="9"/>
      <c r="I237" s="9"/>
    </row>
    <row r="238" spans="1:9" x14ac:dyDescent="0.35">
      <c r="A238" s="9"/>
      <c r="B238" s="103" t="s">
        <v>241</v>
      </c>
      <c r="C238" s="104"/>
      <c r="D238" s="105"/>
      <c r="E238" s="113">
        <v>0</v>
      </c>
      <c r="F238" s="9"/>
      <c r="G238" s="9"/>
      <c r="H238" s="9"/>
      <c r="I238" s="9"/>
    </row>
    <row r="239" spans="1:9" x14ac:dyDescent="0.35">
      <c r="A239" s="9"/>
      <c r="B239" s="103" t="s">
        <v>242</v>
      </c>
      <c r="C239" s="104"/>
      <c r="D239" s="105"/>
      <c r="E239" s="113">
        <v>0</v>
      </c>
      <c r="F239" s="9"/>
      <c r="G239" s="9"/>
      <c r="H239" s="9"/>
      <c r="I239" s="9"/>
    </row>
    <row r="240" spans="1:9" x14ac:dyDescent="0.35">
      <c r="A240" s="9"/>
      <c r="B240" s="103" t="s">
        <v>243</v>
      </c>
      <c r="C240" s="104"/>
      <c r="D240" s="105"/>
      <c r="E240" s="113">
        <v>0</v>
      </c>
      <c r="F240" s="9"/>
      <c r="G240" s="9"/>
      <c r="H240" s="9"/>
      <c r="I240" s="9"/>
    </row>
    <row r="241" spans="1:9" x14ac:dyDescent="0.35">
      <c r="A241" s="9"/>
      <c r="B241" s="103" t="s">
        <v>244</v>
      </c>
      <c r="C241" s="104"/>
      <c r="D241" s="105"/>
      <c r="E241" s="113">
        <v>0</v>
      </c>
      <c r="F241" s="9"/>
      <c r="G241" s="9"/>
      <c r="H241" s="9"/>
      <c r="I241" s="9"/>
    </row>
    <row r="242" spans="1:9" x14ac:dyDescent="0.35">
      <c r="A242" s="9"/>
      <c r="B242" s="9"/>
      <c r="C242" s="9"/>
      <c r="D242" s="9"/>
      <c r="E242" s="9"/>
      <c r="F242" s="9"/>
      <c r="G242" s="9"/>
      <c r="H242" s="9"/>
      <c r="I242" s="9"/>
    </row>
    <row r="243" spans="1:9" x14ac:dyDescent="0.35">
      <c r="A243" s="9"/>
      <c r="B243" s="9"/>
      <c r="C243" s="9"/>
      <c r="D243" s="9"/>
      <c r="E243" s="9"/>
      <c r="F243" s="9"/>
      <c r="G243" s="9"/>
      <c r="H243" s="9"/>
      <c r="I243" s="9"/>
    </row>
    <row r="244" spans="1:9" x14ac:dyDescent="0.35">
      <c r="A244" s="9"/>
      <c r="B244" s="3" t="s">
        <v>247</v>
      </c>
      <c r="C244" s="9"/>
      <c r="D244" s="9"/>
      <c r="E244" s="9"/>
      <c r="F244" s="9"/>
      <c r="G244" s="9"/>
      <c r="H244" s="9"/>
      <c r="I244" s="9"/>
    </row>
    <row r="245" spans="1:9" x14ac:dyDescent="0.35">
      <c r="A245" s="9"/>
      <c r="B245" s="3" t="s">
        <v>253</v>
      </c>
      <c r="C245" s="9"/>
      <c r="D245" s="9"/>
      <c r="E245" s="9"/>
      <c r="F245" s="9"/>
      <c r="G245" s="9"/>
      <c r="H245" s="9"/>
      <c r="I245" s="9"/>
    </row>
    <row r="246" spans="1:9" x14ac:dyDescent="0.35">
      <c r="A246" s="9"/>
      <c r="B246" s="3" t="s">
        <v>254</v>
      </c>
      <c r="C246" s="9"/>
      <c r="D246" s="9"/>
      <c r="E246" s="9"/>
      <c r="F246" s="9"/>
      <c r="G246" s="9"/>
      <c r="H246" s="9"/>
      <c r="I246" s="9"/>
    </row>
    <row r="247" spans="1:9" x14ac:dyDescent="0.35">
      <c r="A247" s="9"/>
      <c r="B247" s="3"/>
      <c r="C247" s="9"/>
      <c r="D247" s="9"/>
      <c r="E247" s="9"/>
      <c r="F247" s="9"/>
      <c r="G247" s="9"/>
      <c r="H247" s="9"/>
      <c r="I247" s="9"/>
    </row>
    <row r="248" spans="1:9" x14ac:dyDescent="0.35">
      <c r="A248" s="9"/>
      <c r="B248" s="3" t="s">
        <v>255</v>
      </c>
      <c r="C248" s="9"/>
      <c r="D248" s="9"/>
      <c r="E248" s="9"/>
      <c r="F248" s="9"/>
      <c r="G248" s="9"/>
      <c r="H248" s="9"/>
      <c r="I248" s="9"/>
    </row>
    <row r="249" spans="1:9" x14ac:dyDescent="0.35">
      <c r="A249" s="9"/>
      <c r="B249" s="3"/>
      <c r="C249" s="9"/>
      <c r="D249" s="9"/>
      <c r="E249" s="9"/>
      <c r="F249" s="9"/>
      <c r="G249" s="9"/>
      <c r="H249" s="9"/>
      <c r="I249" s="9"/>
    </row>
    <row r="250" spans="1:9" x14ac:dyDescent="0.35">
      <c r="A250" s="9"/>
      <c r="B250" s="9"/>
      <c r="C250" s="9"/>
      <c r="D250" s="9"/>
      <c r="E250" s="9"/>
      <c r="F250" s="9"/>
      <c r="G250" s="9"/>
      <c r="H250" s="9"/>
      <c r="I250" s="9"/>
    </row>
    <row r="251" spans="1:9" x14ac:dyDescent="0.35">
      <c r="A251" s="9"/>
      <c r="B251" s="4" t="s">
        <v>248</v>
      </c>
      <c r="C251" s="4" t="s">
        <v>249</v>
      </c>
      <c r="D251" s="9"/>
      <c r="E251" s="9"/>
      <c r="F251" s="9"/>
      <c r="G251" s="9"/>
      <c r="H251" s="9"/>
      <c r="I251" s="9"/>
    </row>
    <row r="252" spans="1:9" x14ac:dyDescent="0.35">
      <c r="A252" s="9"/>
      <c r="B252" s="9"/>
      <c r="C252" s="12" t="s">
        <v>250</v>
      </c>
      <c r="D252" s="9"/>
      <c r="E252" s="9"/>
      <c r="F252" s="9"/>
      <c r="G252" s="9"/>
      <c r="H252" s="9"/>
      <c r="I252" s="9"/>
    </row>
    <row r="253" spans="1:9" x14ac:dyDescent="0.35">
      <c r="A253" s="9"/>
      <c r="B253" s="9"/>
      <c r="C253" s="9"/>
      <c r="D253" s="9"/>
      <c r="E253" s="9"/>
      <c r="F253" s="9"/>
      <c r="G253" s="9"/>
      <c r="H253" s="9"/>
      <c r="I253" s="9"/>
    </row>
    <row r="254" spans="1:9" x14ac:dyDescent="0.35">
      <c r="A254" s="9"/>
      <c r="B254" s="9"/>
      <c r="C254" s="9"/>
      <c r="D254" s="9"/>
      <c r="E254" s="9"/>
      <c r="F254" s="9"/>
      <c r="G254" s="9"/>
      <c r="H254" s="9"/>
      <c r="I254" s="9"/>
    </row>
    <row r="255" spans="1:9" x14ac:dyDescent="0.35">
      <c r="A255" s="9"/>
      <c r="B255" s="9"/>
      <c r="C255" s="9"/>
      <c r="D255" s="9"/>
      <c r="E255" s="9"/>
      <c r="F255" s="9"/>
      <c r="G255" s="9"/>
      <c r="H255" s="9"/>
      <c r="I255" s="9"/>
    </row>
    <row r="256" spans="1:9" x14ac:dyDescent="0.35">
      <c r="A256" s="9"/>
      <c r="B256" s="9"/>
      <c r="C256" s="9"/>
      <c r="D256" s="9"/>
      <c r="E256" s="9"/>
      <c r="F256" s="9"/>
      <c r="G256" s="9"/>
      <c r="H256" s="9"/>
      <c r="I256" s="9"/>
    </row>
    <row r="257" spans="1:9" x14ac:dyDescent="0.35">
      <c r="A257" s="9"/>
      <c r="B257" s="9"/>
      <c r="C257" s="9"/>
      <c r="D257" s="9"/>
      <c r="E257" s="9"/>
      <c r="F257" s="9"/>
      <c r="G257" s="9"/>
      <c r="H257" s="9"/>
      <c r="I257" s="9"/>
    </row>
    <row r="258" spans="1:9" x14ac:dyDescent="0.35">
      <c r="A258" s="9"/>
      <c r="B258" s="9"/>
      <c r="C258" s="9"/>
      <c r="D258" s="9"/>
      <c r="E258" s="9"/>
      <c r="F258" s="9"/>
      <c r="G258" s="9"/>
      <c r="H258" s="9"/>
      <c r="I258" s="9"/>
    </row>
    <row r="259" spans="1:9" x14ac:dyDescent="0.35">
      <c r="A259" s="9"/>
      <c r="B259" s="9"/>
      <c r="C259" s="9"/>
      <c r="D259" s="9"/>
      <c r="E259" s="9"/>
      <c r="F259" s="9"/>
      <c r="G259" s="9"/>
      <c r="H259" s="9"/>
      <c r="I259" s="9"/>
    </row>
    <row r="260" spans="1:9" x14ac:dyDescent="0.35">
      <c r="A260" s="9"/>
      <c r="B260" s="9"/>
      <c r="C260" s="9"/>
      <c r="D260" s="9"/>
      <c r="E260" s="9"/>
      <c r="F260" s="9"/>
      <c r="G260" s="9"/>
      <c r="H260" s="9"/>
      <c r="I260" s="9"/>
    </row>
    <row r="261" spans="1:9" x14ac:dyDescent="0.35">
      <c r="A261" s="9"/>
      <c r="B261" s="9"/>
      <c r="C261" s="9"/>
      <c r="D261" s="9"/>
      <c r="E261" s="9"/>
      <c r="F261" s="9"/>
      <c r="G261" s="9"/>
      <c r="H261" s="9"/>
      <c r="I261" s="9"/>
    </row>
    <row r="262" spans="1:9" x14ac:dyDescent="0.35">
      <c r="A262" s="9"/>
      <c r="B262" s="9"/>
      <c r="C262" s="9"/>
      <c r="D262" s="9"/>
      <c r="E262" s="9"/>
      <c r="F262" s="9"/>
      <c r="G262" s="9"/>
      <c r="H262" s="9"/>
      <c r="I262" s="9"/>
    </row>
    <row r="263" spans="1:9" x14ac:dyDescent="0.35">
      <c r="A263" s="9"/>
      <c r="B263" s="9"/>
      <c r="C263" s="9"/>
      <c r="D263" s="9"/>
      <c r="E263" s="9"/>
      <c r="F263" s="9"/>
      <c r="G263" s="9"/>
      <c r="H263" s="9"/>
      <c r="I263" s="9"/>
    </row>
    <row r="264" spans="1:9" x14ac:dyDescent="0.35">
      <c r="A264" s="9"/>
      <c r="B264" s="4" t="s">
        <v>251</v>
      </c>
      <c r="C264" s="4" t="s">
        <v>252</v>
      </c>
      <c r="D264" s="9"/>
      <c r="E264" s="9"/>
      <c r="F264" s="9"/>
      <c r="G264" s="9"/>
      <c r="H264" s="9"/>
      <c r="I264" s="9"/>
    </row>
    <row r="265" spans="1:9" x14ac:dyDescent="0.35">
      <c r="A265" s="9"/>
      <c r="B265" s="9"/>
      <c r="C265" s="9"/>
      <c r="D265" s="9"/>
      <c r="E265" s="9"/>
      <c r="F265" s="9"/>
      <c r="G265" s="9"/>
      <c r="H265" s="9"/>
      <c r="I265" s="9"/>
    </row>
    <row r="266" spans="1:9" x14ac:dyDescent="0.35">
      <c r="A266" s="9"/>
      <c r="B266" s="9"/>
      <c r="C266" s="9"/>
      <c r="D266" s="9"/>
      <c r="E266" s="9"/>
      <c r="F266" s="9"/>
      <c r="G266" s="9"/>
      <c r="H266" s="9"/>
      <c r="I266" s="9"/>
    </row>
    <row r="267" spans="1:9" x14ac:dyDescent="0.35">
      <c r="A267" s="9"/>
      <c r="B267" s="9"/>
      <c r="C267" s="9"/>
      <c r="D267" s="9"/>
      <c r="E267" s="9"/>
      <c r="F267" s="9"/>
      <c r="G267" s="9"/>
      <c r="H267" s="9"/>
      <c r="I267" s="9"/>
    </row>
    <row r="268" spans="1:9" x14ac:dyDescent="0.35">
      <c r="A268" s="9"/>
      <c r="B268" s="9"/>
      <c r="C268" s="9"/>
      <c r="D268" s="9"/>
      <c r="E268" s="9"/>
      <c r="F268" s="9"/>
      <c r="G268" s="9"/>
      <c r="H268" s="9"/>
      <c r="I268" s="9"/>
    </row>
    <row r="269" spans="1:9" x14ac:dyDescent="0.35">
      <c r="A269" s="9"/>
      <c r="B269" s="9"/>
      <c r="C269" s="9"/>
      <c r="D269" s="9"/>
      <c r="E269" s="9"/>
      <c r="F269" s="9"/>
      <c r="G269" s="9"/>
      <c r="H269" s="9"/>
      <c r="I269" s="9"/>
    </row>
    <row r="270" spans="1:9" x14ac:dyDescent="0.35">
      <c r="A270" s="9"/>
      <c r="B270" s="9"/>
      <c r="C270" s="9"/>
      <c r="D270" s="9"/>
      <c r="E270" s="9"/>
      <c r="F270" s="9"/>
      <c r="G270" s="9"/>
      <c r="H270" s="9"/>
      <c r="I270" s="9"/>
    </row>
    <row r="271" spans="1:9" x14ac:dyDescent="0.35">
      <c r="A271" s="9"/>
      <c r="B271" s="9"/>
      <c r="C271" s="9"/>
      <c r="D271" s="9"/>
      <c r="E271" s="9"/>
      <c r="F271" s="9"/>
      <c r="G271" s="9"/>
      <c r="H271" s="9"/>
      <c r="I271" s="9"/>
    </row>
    <row r="272" spans="1:9" x14ac:dyDescent="0.35">
      <c r="A272" s="9"/>
      <c r="B272" s="9"/>
      <c r="C272" s="9"/>
      <c r="D272" s="9"/>
      <c r="E272" s="9"/>
      <c r="F272" s="9"/>
      <c r="G272" s="9"/>
      <c r="H272" s="9"/>
      <c r="I272" s="9"/>
    </row>
    <row r="273" spans="1:9" x14ac:dyDescent="0.35">
      <c r="A273" s="9"/>
      <c r="B273" s="9"/>
      <c r="C273" s="9"/>
      <c r="D273" s="9"/>
      <c r="E273" s="9"/>
      <c r="F273" s="9"/>
      <c r="G273" s="9"/>
      <c r="H273" s="9"/>
      <c r="I273" s="9"/>
    </row>
    <row r="274" spans="1:9" x14ac:dyDescent="0.35">
      <c r="A274" s="9"/>
      <c r="B274" s="9"/>
      <c r="C274" s="9"/>
      <c r="D274" s="9"/>
      <c r="E274" s="9"/>
      <c r="F274" s="9"/>
      <c r="G274" s="9"/>
      <c r="H274" s="9"/>
      <c r="I274" s="9"/>
    </row>
    <row r="275" spans="1:9" x14ac:dyDescent="0.35">
      <c r="A275" s="9"/>
      <c r="B275" s="9"/>
      <c r="C275" s="9"/>
      <c r="D275" s="9"/>
      <c r="E275" s="9"/>
      <c r="F275" s="9"/>
      <c r="G275" s="9"/>
      <c r="H275" s="9"/>
      <c r="I275" s="9"/>
    </row>
    <row r="276" spans="1:9" x14ac:dyDescent="0.35">
      <c r="A276" s="9"/>
      <c r="B276" s="9"/>
      <c r="C276" s="9"/>
      <c r="D276" s="9"/>
      <c r="E276" s="9"/>
      <c r="F276" s="9"/>
      <c r="G276" s="9"/>
      <c r="H276" s="9"/>
      <c r="I276" s="9"/>
    </row>
    <row r="277" spans="1:9" x14ac:dyDescent="0.35">
      <c r="A277" s="9"/>
      <c r="B277" s="9"/>
      <c r="C277" s="9"/>
      <c r="D277" s="9"/>
      <c r="E277" s="9"/>
      <c r="F277" s="9"/>
      <c r="G277" s="9"/>
      <c r="H277" s="9"/>
      <c r="I277" s="9"/>
    </row>
    <row r="278" spans="1:9" x14ac:dyDescent="0.35">
      <c r="A278" s="9"/>
      <c r="B278" s="9"/>
      <c r="C278" s="9"/>
      <c r="D278" s="9"/>
      <c r="E278" s="9"/>
      <c r="F278" s="9"/>
      <c r="G278" s="9"/>
      <c r="H278" s="9"/>
      <c r="I278" s="9"/>
    </row>
    <row r="279" spans="1:9" x14ac:dyDescent="0.35">
      <c r="A279" s="9"/>
      <c r="B279" s="9"/>
      <c r="C279" s="9"/>
      <c r="D279" s="9"/>
      <c r="E279" s="9"/>
      <c r="F279" s="9"/>
      <c r="G279" s="9"/>
      <c r="H279" s="9"/>
      <c r="I279" s="9"/>
    </row>
    <row r="280" spans="1:9" x14ac:dyDescent="0.35">
      <c r="A280" s="9"/>
      <c r="B280" s="9"/>
      <c r="C280" s="9"/>
      <c r="D280" s="9"/>
      <c r="E280" s="9"/>
      <c r="F280" s="9"/>
      <c r="G280" s="9"/>
      <c r="H280" s="9"/>
      <c r="I280" s="9"/>
    </row>
  </sheetData>
  <dataConsolidate/>
  <mergeCells count="7">
    <mergeCell ref="B235:C235"/>
    <mergeCell ref="A1:I1"/>
    <mergeCell ref="A2:I2"/>
    <mergeCell ref="A3:I3"/>
    <mergeCell ref="B127:H127"/>
    <mergeCell ref="B129:H129"/>
    <mergeCell ref="B227:C227"/>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204</vt:i4>
      </vt:variant>
    </vt:vector>
  </HeadingPairs>
  <TitlesOfParts>
    <vt:vector size="205" baseType="lpstr">
      <vt:lpstr>WCAR</vt:lpstr>
      <vt:lpstr>XDO_?ASSET_TYPE_MM?</vt:lpstr>
      <vt:lpstr>XDO_?AUM?</vt:lpstr>
      <vt:lpstr>XDO_?FUND_OBJECTIVE?</vt:lpstr>
      <vt:lpstr>XDO_?HEADER?</vt:lpstr>
      <vt:lpstr>XDO_?ISIN_ALT?</vt:lpstr>
      <vt:lpstr>XDO_?ISIN_DEBT_A?</vt:lpstr>
      <vt:lpstr>XDO_?ISIN_DEBT_B?</vt:lpstr>
      <vt:lpstr>XDO_?ISIN_DEBT_C?</vt:lpstr>
      <vt:lpstr>XDO_?ISIN_DEBT_D?</vt:lpstr>
      <vt:lpstr>XDO_?ISIN_DRV?</vt:lpstr>
      <vt:lpstr>XDO_?ISIN_EQU?</vt:lpstr>
      <vt:lpstr>XDO_?ISIN_EQU_NON?</vt:lpstr>
      <vt:lpstr>XDO_?ISIN_ETF?</vt:lpstr>
      <vt:lpstr>XDO_?ISIN_FD?</vt:lpstr>
      <vt:lpstr>XDO_?ISIN_IRS?</vt:lpstr>
      <vt:lpstr>XDO_?ISIN_IVT?</vt:lpstr>
      <vt:lpstr>XDO_?ISIN_MFU?</vt:lpstr>
      <vt:lpstr>XDO_?ISIN_MM?</vt:lpstr>
      <vt:lpstr>XDO_?ISIN_OTHERS?</vt:lpstr>
      <vt:lpstr>XDO_?ISIN_PRF?</vt:lpstr>
      <vt:lpstr>XDO_?ISIN_RET?</vt:lpstr>
      <vt:lpstr>XDO_?ISIN_RR?</vt:lpstr>
      <vt:lpstr>XDO_?ISIN_TREP?</vt:lpstr>
      <vt:lpstr>XDO_?ISSUER_NAME_ALT?</vt:lpstr>
      <vt:lpstr>XDO_?ISSUER_NAME_DEBT_A?</vt:lpstr>
      <vt:lpstr>XDO_?ISSUER_NAME_DEBT_B?</vt:lpstr>
      <vt:lpstr>XDO_?ISSUER_NAME_DEBT_C?</vt:lpstr>
      <vt:lpstr>XDO_?ISSUER_NAME_DEBT_D?</vt:lpstr>
      <vt:lpstr>XDO_?ISSUER_NAME_DRV?</vt:lpstr>
      <vt:lpstr>XDO_?ISSUER_NAME_EQU?</vt:lpstr>
      <vt:lpstr>XDO_?ISSUER_NAME_EQU_NON?</vt:lpstr>
      <vt:lpstr>XDO_?ISSUER_NAME_ETF?</vt:lpstr>
      <vt:lpstr>XDO_?ISSUER_NAME_FD?</vt:lpstr>
      <vt:lpstr>XDO_?ISSUER_NAME_IRS?</vt:lpstr>
      <vt:lpstr>XDO_?ISSUER_NAME_IVT?</vt:lpstr>
      <vt:lpstr>XDO_?ISSUER_NAME_MFU?</vt:lpstr>
      <vt:lpstr>XDO_?ISSUER_NAME_MM?</vt:lpstr>
      <vt:lpstr>XDO_?ISSUER_NAME_OTHERS?</vt:lpstr>
      <vt:lpstr>XDO_?ISSUER_NAME_PRF?</vt:lpstr>
      <vt:lpstr>XDO_?ISSUER_NAME_RET?</vt:lpstr>
      <vt:lpstr>XDO_?ISSUER_NAME_RR?</vt:lpstr>
      <vt:lpstr>XDO_?ISSUER_NAME_TREP?</vt:lpstr>
      <vt:lpstr>XDO_?MARKET_VALUE_ALT?</vt:lpstr>
      <vt:lpstr>XDO_?MARKET_VALUE_DEBT_A?</vt:lpstr>
      <vt:lpstr>XDO_?MARKET_VALUE_DEBT_B?</vt:lpstr>
      <vt:lpstr>XDO_?MARKET_VALUE_DEBT_C?</vt:lpstr>
      <vt:lpstr>XDO_?MARKET_VALUE_DEBT_D?</vt:lpstr>
      <vt:lpstr>XDO_?MARKET_VALUE_DRV?</vt:lpstr>
      <vt:lpstr>XDO_?MARKET_VALUE_EQU?</vt:lpstr>
      <vt:lpstr>XDO_?MARKET_VALUE_EQU_NON?</vt:lpstr>
      <vt:lpstr>XDO_?MARKET_VALUE_ETF?</vt:lpstr>
      <vt:lpstr>XDO_?MARKET_VALUE_FD?</vt:lpstr>
      <vt:lpstr>XDO_?MARKET_VALUE_IRS?</vt:lpstr>
      <vt:lpstr>XDO_?MARKET_VALUE_IVT?</vt:lpstr>
      <vt:lpstr>XDO_?MARKET_VALUE_MFU?</vt:lpstr>
      <vt:lpstr>XDO_?MARKET_VALUE_MM?</vt:lpstr>
      <vt:lpstr>XDO_?MARKET_VALUE_OTHERS?</vt:lpstr>
      <vt:lpstr>XDO_?MARKET_VALUE_PRF?</vt:lpstr>
      <vt:lpstr>XDO_?MARKET_VALUE_RET?</vt:lpstr>
      <vt:lpstr>XDO_?MARKET_VALUE_RR?</vt:lpstr>
      <vt:lpstr>XDO_?MARKET_VALUE_TREP?</vt:lpstr>
      <vt:lpstr>XDO_?MATURITY_DATE_DEBT_A?</vt:lpstr>
      <vt:lpstr>XDO_?MATURITY_DATE_DEBT_B?</vt:lpstr>
      <vt:lpstr>XDO_?MATURITY_DATE_DEBT_C?</vt:lpstr>
      <vt:lpstr>XDO_?MATURITY_DATE_DEBT_D?</vt:lpstr>
      <vt:lpstr>XDO_?MATURITY_DATE_DRV?</vt:lpstr>
      <vt:lpstr>XDO_?MATURITY_DATE_EQU?</vt:lpstr>
      <vt:lpstr>XDO_?MATURITY_DATE_EQU_NON?</vt:lpstr>
      <vt:lpstr>XDO_?MATURITY_DATE_ETF?</vt:lpstr>
      <vt:lpstr>XDO_?MATURITY_DATE_FD?</vt:lpstr>
      <vt:lpstr>XDO_?MATURITY_DATE_IVT?</vt:lpstr>
      <vt:lpstr>XDO_?MATURITY_DATE_MFU?</vt:lpstr>
      <vt:lpstr>XDO_?MATURITY_DATE_MM?</vt:lpstr>
      <vt:lpstr>XDO_?MATURITY_DATE_RET?</vt:lpstr>
      <vt:lpstr>XDO_?MATURITY_DATE_RR?</vt:lpstr>
      <vt:lpstr>XDO_?MATURITY_DATE_TREP?</vt:lpstr>
      <vt:lpstr>XDO_?NAV_GROUP?</vt:lpstr>
      <vt:lpstr>XDO_?PER_NET_ASST_ALT?</vt:lpstr>
      <vt:lpstr>XDO_?PER_NET_ASST_DEBT_A?</vt:lpstr>
      <vt:lpstr>XDO_?PER_NET_ASST_DEBT_B?</vt:lpstr>
      <vt:lpstr>XDO_?PER_NET_ASST_DEBT_C?</vt:lpstr>
      <vt:lpstr>XDO_?PER_NET_ASST_DEBT_D?</vt:lpstr>
      <vt:lpstr>XDO_?PER_NET_ASST_DRV?</vt:lpstr>
      <vt:lpstr>XDO_?PER_NET_ASST_EQU?</vt:lpstr>
      <vt:lpstr>XDO_?PER_NET_ASST_EQU_NON?</vt:lpstr>
      <vt:lpstr>XDO_?PER_NET_ASST_ETF?</vt:lpstr>
      <vt:lpstr>XDO_?PER_NET_ASST_FD?</vt:lpstr>
      <vt:lpstr>XDO_?PER_NET_ASST_IRS?</vt:lpstr>
      <vt:lpstr>XDO_?PER_NET_ASST_IVT?</vt:lpstr>
      <vt:lpstr>XDO_?PER_NET_ASST_MFU?</vt:lpstr>
      <vt:lpstr>XDO_?PER_NET_ASST_MM?</vt:lpstr>
      <vt:lpstr>XDO_?PER_NET_ASST_OTHERS?</vt:lpstr>
      <vt:lpstr>XDO_?PER_NET_ASST_PRF?</vt:lpstr>
      <vt:lpstr>XDO_?PER_NET_ASST_RET?</vt:lpstr>
      <vt:lpstr>XDO_?PER_NET_ASST_RR?</vt:lpstr>
      <vt:lpstr>XDO_?PER_NET_ASST_TREP?</vt:lpstr>
      <vt:lpstr>XDO_?QUANTITY_ALT?</vt:lpstr>
      <vt:lpstr>XDO_?QUANTITY_DEBT_A?</vt:lpstr>
      <vt:lpstr>XDO_?QUANTITY_DEBT_B?</vt:lpstr>
      <vt:lpstr>XDO_?QUANTITY_DEBT_C?</vt:lpstr>
      <vt:lpstr>XDO_?QUANTITY_DEBT_D?</vt:lpstr>
      <vt:lpstr>XDO_?QUANTITY_DRV?</vt:lpstr>
      <vt:lpstr>XDO_?QUANTITY_EQU?</vt:lpstr>
      <vt:lpstr>XDO_?QUANTITY_EQU_NON?</vt:lpstr>
      <vt:lpstr>XDO_?QUANTITY_ETF?</vt:lpstr>
      <vt:lpstr>XDO_?QUANTITY_FD?</vt:lpstr>
      <vt:lpstr>XDO_?QUANTITY_IVT?</vt:lpstr>
      <vt:lpstr>XDO_?QUANTITY_MFU?</vt:lpstr>
      <vt:lpstr>XDO_?QUANTITY_MM?</vt:lpstr>
      <vt:lpstr>XDO_?QUANTITY_OTHERS?</vt:lpstr>
      <vt:lpstr>XDO_?QUANTITY_PRF?</vt:lpstr>
      <vt:lpstr>XDO_?QUANTITY_RET?</vt:lpstr>
      <vt:lpstr>XDO_?QUANTITY_RR?</vt:lpstr>
      <vt:lpstr>XDO_?QUANTITY_TREP?</vt:lpstr>
      <vt:lpstr>XDO_?RATING_INDUSTRY_ALT?</vt:lpstr>
      <vt:lpstr>XDO_?RATING_INDUSTRY_DEBT_A?</vt:lpstr>
      <vt:lpstr>XDO_?RATING_INDUSTRY_DEBT_B?</vt:lpstr>
      <vt:lpstr>XDO_?RATING_INDUSTRY_DEBT_C?</vt:lpstr>
      <vt:lpstr>XDO_?RATING_INDUSTRY_DEBT_D?</vt:lpstr>
      <vt:lpstr>XDO_?RATING_INDUSTRY_DRV?</vt:lpstr>
      <vt:lpstr>XDO_?RATING_INDUSTRY_EQU?</vt:lpstr>
      <vt:lpstr>XDO_?RATING_INDUSTRY_EQU_NON?</vt:lpstr>
      <vt:lpstr>XDO_?RATING_INDUSTRY_ETF?</vt:lpstr>
      <vt:lpstr>XDO_?RATING_INDUSTRY_FD?</vt:lpstr>
      <vt:lpstr>XDO_?RATING_INDUSTRY_IRS?</vt:lpstr>
      <vt:lpstr>XDO_?RATING_INDUSTRY_IVT?</vt:lpstr>
      <vt:lpstr>XDO_?RATING_INDUSTRY_MFU?</vt:lpstr>
      <vt:lpstr>XDO_?RATING_INDUSTRY_MM?</vt:lpstr>
      <vt:lpstr>XDO_?RATING_INDUSTRY_OTHERS?</vt:lpstr>
      <vt:lpstr>XDO_?RATING_INDUSTRY_PRF?</vt:lpstr>
      <vt:lpstr>XDO_?RATING_INDUSTRY_RET?</vt:lpstr>
      <vt:lpstr>XDO_?RATING_INDUSTRY_RR?</vt:lpstr>
      <vt:lpstr>XDO_?RATING_INDUSTRY_TREP?</vt:lpstr>
      <vt:lpstr>XDO_?TX_GT_MARKET_VALUE_DEBT_ALL?</vt:lpstr>
      <vt:lpstr>XDO_?TX_GT_MARKET_VALUE_EQU_ALL?</vt:lpstr>
      <vt:lpstr>XDO_?TX_GT_MARKET_VALUE_GRAND?</vt:lpstr>
      <vt:lpstr>XDO_?TX_GT_MARKET_VALUE_MM_ALL?</vt:lpstr>
      <vt:lpstr>XDO_?TX_GT_PER_NET_ASSET_DEBT_ALL?</vt:lpstr>
      <vt:lpstr>XDO_?TX_GT_PER_NET_ASST_EQU_ALL?</vt:lpstr>
      <vt:lpstr>XDO_?TX_GT_PER_NET_ASST_GRAND?</vt:lpstr>
      <vt:lpstr>XDO_?TX_GT_PER_NET_ASST_MM_ALL?</vt:lpstr>
      <vt:lpstr>XDO_?TX_MKT_VAL_DEBT_B_HDN?</vt:lpstr>
      <vt:lpstr>XDO_?TX_MKT_VAL_DEBT_C_HDN?</vt:lpstr>
      <vt:lpstr>XDO_?TX_MKT_VAL_DEBT_D_HDN?</vt:lpstr>
      <vt:lpstr>XDO_?TX_MKT_VAL_EQU_HDN?</vt:lpstr>
      <vt:lpstr>XDO_?TX_MKT_VAL_EQU_NON_HDN?</vt:lpstr>
      <vt:lpstr>XDO_?TX_MKT_VAL_IVT_HDN?</vt:lpstr>
      <vt:lpstr>XDO_?TX_MKT_VAL_RET_HDN?</vt:lpstr>
      <vt:lpstr>XDO_?TX_PER_NET_DEBT_B_HDN?</vt:lpstr>
      <vt:lpstr>XDO_?TX_PER_NET_DEBT_C_HDN?</vt:lpstr>
      <vt:lpstr>XDO_?TX_PER_NET_DEBT_D_HDN?</vt:lpstr>
      <vt:lpstr>XDO_?TX_PER_NET_EQU_HDN?</vt:lpstr>
      <vt:lpstr>XDO_?TX_PER_NET_EQU_NON_HDN?</vt:lpstr>
      <vt:lpstr>XDO_?TX_PER_NET_IVT_HDN?</vt:lpstr>
      <vt:lpstr>XDO_?TX_PER_NET_RET_HDN?</vt:lpstr>
      <vt:lpstr>XDO_?TX_ST_MARKET_VALUE_ALT?</vt:lpstr>
      <vt:lpstr>XDO_?TX_ST_MARKET_VALUE_DRV?</vt:lpstr>
      <vt:lpstr>XDO_?TX_ST_MARKET_VALUE_EQU?</vt:lpstr>
      <vt:lpstr>XDO_?TX_ST_MARKET_VALUE_ETF?</vt:lpstr>
      <vt:lpstr>XDO_?TX_ST_MARKET_VALUE_FD?</vt:lpstr>
      <vt:lpstr>XDO_?TX_ST_MARKET_VALUE_IRS?</vt:lpstr>
      <vt:lpstr>XDO_?TX_ST_MARKET_VALUE_MFU?</vt:lpstr>
      <vt:lpstr>XDO_?TX_ST_MARKET_VALUE_MM?</vt:lpstr>
      <vt:lpstr>XDO_?TX_ST_MARKET_VALUE_TREP?</vt:lpstr>
      <vt:lpstr>XDO_?TX_ST_PER_NET_ASST_ALT?</vt:lpstr>
      <vt:lpstr>XDO_?TX_ST_PER_NET_ASST_DRV?</vt:lpstr>
      <vt:lpstr>XDO_?TX_ST_PER_NET_ASST_EQU?</vt:lpstr>
      <vt:lpstr>XDO_?TX_ST_PER_NET_ASST_ETF?</vt:lpstr>
      <vt:lpstr>XDO_?TX_ST_PER_NET_ASST_FD?</vt:lpstr>
      <vt:lpstr>XDO_?TX_ST_PER_NET_ASST_IRS?</vt:lpstr>
      <vt:lpstr>XDO_?TX_ST_PER_NET_ASST_MFU?</vt:lpstr>
      <vt:lpstr>XDO_?TX_ST_PER_NET_ASST_MM?</vt:lpstr>
      <vt:lpstr>XDO_?TX_ST_PER_NET_ASST_TREP?</vt:lpstr>
      <vt:lpstr>XDO_?YIELDS_ALT?</vt:lpstr>
      <vt:lpstr>XDO_?YIELDS_DEBT_A?</vt:lpstr>
      <vt:lpstr>XDO_?YIELDS_DEBT_B?</vt:lpstr>
      <vt:lpstr>XDO_?YIELDS_DEBT_C?</vt:lpstr>
      <vt:lpstr>XDO_?YIELDS_DEBT_D?</vt:lpstr>
      <vt:lpstr>XDO_?YIELDS_DRV?</vt:lpstr>
      <vt:lpstr>XDO_?YIELDS_EQU?</vt:lpstr>
      <vt:lpstr>XDO_?YIELDS_EQU_NON?</vt:lpstr>
      <vt:lpstr>XDO_?YIELDS_ETF?</vt:lpstr>
      <vt:lpstr>XDO_?YIELDS_FD?</vt:lpstr>
      <vt:lpstr>XDO_?YIELDS_IRS?</vt:lpstr>
      <vt:lpstr>XDO_?YIELDS_IVT?</vt:lpstr>
      <vt:lpstr>XDO_?YIELDS_MFU?</vt:lpstr>
      <vt:lpstr>XDO_?YIELDS_MM?</vt:lpstr>
      <vt:lpstr>XDO_?YIELDS_OTHERS?</vt:lpstr>
      <vt:lpstr>XDO_?YIELDS_PRF?</vt:lpstr>
      <vt:lpstr>XDO_?YIELDS_RET?</vt:lpstr>
      <vt:lpstr>XDO_?YIELDS_RR?</vt:lpstr>
      <vt:lpstr>XDO_?YIELDS_TREP?</vt:lpstr>
      <vt:lpstr>XDO_GROUP_?G_15?</vt:lpstr>
      <vt:lpstr>XDO_GROUP_?G_17?</vt:lpstr>
      <vt:lpstr>XDO_GROUP_?G_18?</vt:lpstr>
      <vt:lpstr>XDO_GROUP_?G_20?</vt:lpstr>
      <vt:lpstr>XDO_GROUP_?G_21?</vt:lpstr>
      <vt:lpstr>XDO_GROUP_?G_23?</vt:lpstr>
      <vt:lpstr>XDO_GROUP_?G_25?</vt:lpstr>
      <vt:lpstr>XDO_GROUP_?G_27?</vt:lpstr>
      <vt:lpstr>XDO_GROUP_?G_3?</vt:lpstr>
      <vt:lpstr>XDO_GROUP_?G_31?</vt:lpstr>
      <vt:lpstr>XDO_GROUP_?G_41?</vt:lpstr>
      <vt:lpstr>XDO_GROUP_?G_7?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2026-10-08T12:21:32Z</dcterms:created>
  <dcterms:modified xsi:type="dcterms:W3CDTF">2026-10-08T12:27:00Z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2026-10-08T12:21:33Z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e30a6e94-5a7e-4945-961a-1dbbef47b3a8</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